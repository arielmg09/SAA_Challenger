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Strategies" sheetId="3" state="visible" r:id="rId5"/>
    <sheet name="Benchmark" sheetId="4" state="visible" r:id="rId6"/>
    <sheet name="Comparison" sheetId="5" state="visible" r:id="rId7"/>
    <sheet name="Run_Log" sheetId="6" state="visible" r:id="rId8"/>
  </sheets>
  <definedNames>
    <definedName function="false" hidden="true" localSheetId="3" name="solver_adj" vbProcedure="false">Benchmark!$B$7:$H$16</definedName>
    <definedName function="false" hidden="true" localSheetId="3" name="solver_eng" vbProcedure="false">1</definedName>
    <definedName function="false" hidden="true" localSheetId="3" name="solver_lhs1" vbProcedure="false">Benchmark!$B$7:$H$16</definedName>
    <definedName function="false" hidden="true" localSheetId="3" name="solver_lhs2" vbProcedure="false">Benchmark!$B$7:$H$16</definedName>
    <definedName function="false" hidden="true" localSheetId="3" name="solver_lhs3" vbProcedure="false">Benchmark!$I$7:$I$16</definedName>
    <definedName function="false" hidden="true" localSheetId="3" name="solver_lhs4" vbProcedure="false">Benchmark!$K$7:$K$16</definedName>
    <definedName function="false" hidden="true" localSheetId="3" name="solver_lhs5" vbProcedure="false">Benchmark!$O$7:$O$16</definedName>
    <definedName function="false" hidden="true" localSheetId="3" name="solver_neg" vbProcedure="false">1</definedName>
    <definedName function="false" hidden="true" localSheetId="3" name="solver_num" vbProcedure="false">5</definedName>
    <definedName function="false" hidden="true" localSheetId="3" name="solver_opt" vbProcedure="false">Benchmark!$J$18</definedName>
    <definedName function="false" hidden="true" localSheetId="3" name="solver_rel1" vbProcedure="false">3</definedName>
    <definedName function="false" hidden="true" localSheetId="3" name="solver_rel2" vbProcedure="false">1</definedName>
    <definedName function="false" hidden="true" localSheetId="3" name="solver_rel3" vbProcedure="false">2</definedName>
    <definedName function="false" hidden="true" localSheetId="3" name="solver_rel4" vbProcedure="false">1</definedName>
    <definedName function="false" hidden="true" localSheetId="3" name="solver_rel5" vbProcedure="false">3</definedName>
    <definedName function="false" hidden="true" localSheetId="3" name="solver_rhs1" vbProcedure="false">Benchmark!$B$22:$H$31</definedName>
    <definedName function="false" hidden="true" localSheetId="3" name="solver_rhs2" vbProcedure="false">Benchmark!$B$35:$H$44</definedName>
    <definedName function="false" hidden="true" localSheetId="3" name="solver_rhs3" vbProcedure="false">1</definedName>
    <definedName function="false" hidden="true" localSheetId="3" name="solver_rhs4" vbProcedure="false">Benchmark!$N$7:$N$16</definedName>
    <definedName function="false" hidden="true" localSheetId="3" name="solver_rhs5" vbProcedure="false">Benchmark!$P$7:$P$16</definedName>
    <definedName function="false" hidden="true" localSheetId="3" name="solver_typ" vbProcedure="false">1</definedName>
    <definedName function="false" hidden="true" localSheetId="3" name="solver_val" vbProcedure="false">0</definedName>
    <definedName function="false" hidden="true" localSheetId="3" name="solver_ver" vbProcedure="false">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Source: 'Expected Returns' methodology document, composite table (30/11/2021). Illustrative.</t>
        </r>
      </text>
    </comment>
    <comment ref="C4" authorId="0">
      <text>
        <r>
          <rPr>
            <sz val="10"/>
            <rFont val="Arial"/>
            <family val="2"/>
          </rPr>
          <t xml:space="preserve">Source: 'SAA Inputs' methodology document, composite expected volatility (30/11/2021). Illustrative.</t>
        </r>
      </text>
    </comment>
    <comment ref="D4" authorId="0">
      <text>
        <r>
          <rPr>
            <sz val="10"/>
            <rFont val="Arial"/>
            <family val="2"/>
          </rPr>
          <t xml:space="preserve">Source: 'SAA Inputs' methodology document, composite expected yield (30/11/2021). Illustrative.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Placeholder: Core targets equally spaced between 30% and 90% of equity volatility (as described in the model documentation). Income and Responsible values are placeholders.</t>
        </r>
      </text>
    </comment>
    <comment ref="D4" authorId="0">
      <text>
        <r>
          <rPr>
            <sz val="10"/>
            <rFont val="Arial"/>
            <family val="2"/>
          </rPr>
          <t xml:space="preserve">Placeholder minimum yields for the Income strategies; 0% means no yield constraint.</t>
        </r>
      </text>
    </comment>
    <comment ref="L4" authorId="0">
      <text>
        <r>
          <rPr>
            <sz val="10"/>
            <rFont val="Arial"/>
            <family val="2"/>
          </rPr>
          <t xml:space="preserve">Placeholder bounds. Replace with the bounds used in RISKOptimizer for each strategy.</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M4" authorId="0">
      <text>
        <r>
          <rPr>
            <sz val="10"/>
            <rFont val="Arial"/>
            <family val="2"/>
          </rPr>
          <t xml:space="preserve">Illustrative tolerances (1 pp weights, 0.05 pp volatility). Agree and document the final values with the Model Owner.</t>
        </r>
      </text>
    </comment>
  </commentList>
</comments>
</file>

<file path=xl/sharedStrings.xml><?xml version="1.0" encoding="utf-8"?>
<sst xmlns="http://schemas.openxmlformats.org/spreadsheetml/2006/main" count="233" uniqueCount="125">
  <si>
    <t xml:space="preserve">SAA Model – Solver benchmark of the RISKOptimizer weights</t>
  </si>
  <si>
    <t xml:space="preserve">Purpose</t>
  </si>
  <si>
    <t xml:space="preserve">This workbook re-solves the SAA optimisation with Excel's built-in Solver, using hard constraints and no simulation. Comparing the result with the RISKOptimizer weights gives a quick annual check that the optimiser has converged and that every constraint is met.</t>
  </si>
  <si>
    <t xml:space="preserve">Under the model's assumptions (independent returns, portfolio rebalanced to fixed weights), maximising the mean terminal portfolio value is the same as maximising the portfolio's expected return, so the two optimisations should give very similar weights.</t>
  </si>
  <si>
    <t xml:space="preserve">Tabs</t>
  </si>
  <si>
    <t xml:space="preserve">Inputs – composite expected returns, volatilities, yields and correlations; the covariance matrix is calculated from them.</t>
  </si>
  <si>
    <t xml:space="preserve">Strategies – for each strategy: volatility target, minimum yield and minimum/maximum weight for each composite.</t>
  </si>
  <si>
    <t xml:space="preserve">Benchmark – the Solver model. The yellow weight cells are changed by Solver; everything else is calculated.</t>
  </si>
  <si>
    <t xml:space="preserve">Comparison – paste the RISKOptimizer weights here; the tab compares them with Solver and checks every constraint (PASS / CHECK).</t>
  </si>
  <si>
    <t xml:space="preserve">Run_Log – record the outcome of each annual check and the explanation of any difference beyond tolerance.</t>
  </si>
  <si>
    <t xml:space="preserve">Colour key</t>
  </si>
  <si>
    <t xml:space="preserve">Blue text on yellow = input to be entered or linked by the user.   Blue text = hardcoded assumption.   Green text = link to another tab.   Black text = formula.</t>
  </si>
  <si>
    <t xml:space="preserve">IMPORTANT – illustrative values</t>
  </si>
  <si>
    <t xml:space="preserve">The composite inputs are the illustrative 30/11/2021 values from the 'SAA Inputs' and 'Expected Returns' methodology documents. The volatility-target fractions, minimum yields and weight bounds are PLACEHOLDERS. Replace all of them with the values used in the current SAA Model before relying on any result.</t>
  </si>
  <si>
    <t xml:space="preserve">Annual steps</t>
  </si>
  <si>
    <t xml:space="preserve">1. Inputs. Link (or paste as values) the same inputs used by @RISK. In SAA Model, sheet 'MonteCarloModel': expected returns E48:E54, volatilities F48:F54, yields G48:G54, correlations C70:I76 (the 7 x 7 block, excluding inflation).</t>
  </si>
  <si>
    <t xml:space="preserve">2. Strategies. Enter each strategy's volatility target, minimum yield and composite bounds exactly as set in RISKOptimizer.</t>
  </si>
  <si>
    <t xml:space="preserve">3. Solver. Enable Solver once (File &gt; Options &gt; Add-ins &gt; Manage: Excel Add-ins &gt; Go &gt; tick Solver Add-in). Then go to the Benchmark tab and click Data &gt; Solver &gt; Solve. The model is pre-loaded; if it does not appear, set it up as shown below.</t>
  </si>
  <si>
    <t xml:space="preserve">4. Comparison. Paste the final RISKOptimizer weights (as values, in %) into the yellow cells of the Comparison tab. Check the status columns.</t>
  </si>
  <si>
    <t xml:space="preserve">5. Explanation. For any CHECK result, record the difference and its explanation in Run_Log.</t>
  </si>
  <si>
    <t xml:space="preserve">Solver set-up (if not pre-loaded)</t>
  </si>
  <si>
    <t xml:space="preserve">Set Objective: Benchmark!$J$18     To: Max     By Changing Variable Cells: Benchmark!$B$7:$H$16</t>
  </si>
  <si>
    <t xml:space="preserve">Constraints:  $B$7:$H$16 &gt;= $B$22:$H$31  (minimum weights)</t>
  </si>
  <si>
    <t xml:space="preserve">                       $B$7:$H$16 &lt;= $B$35:$H$44  (maximum weights)</t>
  </si>
  <si>
    <t xml:space="preserve">                       $I$7:$I$16 = 1  (fully invested)</t>
  </si>
  <si>
    <t xml:space="preserve">                       $K$7:$K$16 &lt;= $N$7:$N$16  (variance at or below target variance)</t>
  </si>
  <si>
    <t xml:space="preserve">                       $O$7:$O$16 &gt;= $P$7:$P$16  (yield at or above minimum)</t>
  </si>
  <si>
    <t xml:space="preserve">Tick 'Make Unconstrained Variables Non-Negative'. Solving Method: GRG Nonlinear.</t>
  </si>
  <si>
    <t xml:space="preserve">All ten strategies are solved in one run: the objective is the sum of their expected returns, and because each strategy's constraints only involve its own weights, maximising the sum gives each strategy its own optimum.</t>
  </si>
  <si>
    <t xml:space="preserve">Caveat</t>
  </si>
  <si>
    <t xml:space="preserve">The equivalence holds only if the @RISK simulation follows the assumptions above. If RISKOptimizer measures the volatility constraint from simulated paths rather than from the inputs, small differences are expected and should be explained rather than treated as errors. Because RISKOptimizer uses soft constraints, small breaches of the targets and bounds are also expected; the tolerances on the Comparison tab decide which are acceptable.</t>
  </si>
  <si>
    <t xml:space="preserve">Composite inputs (same as used by @RISK)</t>
  </si>
  <si>
    <t xml:space="preserve">Illustrative values as at 30/11/2021 – replace with links to SAA Model, sheet MonteCarloModel (E48:G54 and C70:I76).</t>
  </si>
  <si>
    <t xml:space="preserve">Composite</t>
  </si>
  <si>
    <t xml:space="preserve">Expected return</t>
  </si>
  <si>
    <t xml:space="preserve">Volatility</t>
  </si>
  <si>
    <t xml:space="preserve">Yield</t>
  </si>
  <si>
    <t xml:space="preserve">Equity</t>
  </si>
  <si>
    <t xml:space="preserve">Bonds - DM government</t>
  </si>
  <si>
    <t xml:space="preserve">Bonds - other</t>
  </si>
  <si>
    <t xml:space="preserve">Property</t>
  </si>
  <si>
    <t xml:space="preserve">Gold</t>
  </si>
  <si>
    <t xml:space="preserve">Hedge funds</t>
  </si>
  <si>
    <t xml:space="preserve">Cash</t>
  </si>
  <si>
    <t xml:space="preserve">Correlation matrix</t>
  </si>
  <si>
    <t xml:space="preserve">DM Gov</t>
  </si>
  <si>
    <t xml:space="preserve">Bonds other</t>
  </si>
  <si>
    <t xml:space="preserve">Symmetry check (max |C - Cᵀ|)</t>
  </si>
  <si>
    <t xml:space="preserve">Covariance matrix (volatility_i × volatility_j × correlation_ij)</t>
  </si>
  <si>
    <t xml:space="preserve">Strategy constraints (as set in RISKOptimizer)</t>
  </si>
  <si>
    <t xml:space="preserve">PLACEHOLDER values – replace with each strategy's actual volatility target, minimum yield and bounds.</t>
  </si>
  <si>
    <t xml:space="preserve">Minimum weight</t>
  </si>
  <si>
    <t xml:space="preserve">Maximum weight</t>
  </si>
  <si>
    <t xml:space="preserve">Strategy</t>
  </si>
  <si>
    <t xml:space="preserve">Vol target as % of equity vol</t>
  </si>
  <si>
    <t xml:space="preserve">Volatility target</t>
  </si>
  <si>
    <t xml:space="preserve">Minimum yield</t>
  </si>
  <si>
    <t xml:space="preserve">Defensive</t>
  </si>
  <si>
    <t xml:space="preserve">Cautious</t>
  </si>
  <si>
    <t xml:space="preserve">Balanced</t>
  </si>
  <si>
    <t xml:space="preserve">Growth</t>
  </si>
  <si>
    <t xml:space="preserve">Income</t>
  </si>
  <si>
    <t xml:space="preserve">Income Plus</t>
  </si>
  <si>
    <t xml:space="preserve">Defensive Responsible</t>
  </si>
  <si>
    <t xml:space="preserve">Cautious Responsible</t>
  </si>
  <si>
    <t xml:space="preserve">Balanced Responsible</t>
  </si>
  <si>
    <t xml:space="preserve">Growth Responsible</t>
  </si>
  <si>
    <t xml:space="preserve">Bound check: minimum must not exceed maximum</t>
  </si>
  <si>
    <t xml:space="preserve">Solver benchmark – maximise expected return with hard constraints</t>
  </si>
  <si>
    <t xml:space="preserve">Sum of weights</t>
  </si>
  <si>
    <t xml:space="preserve">Variance</t>
  </si>
  <si>
    <t xml:space="preserve">Target variance</t>
  </si>
  <si>
    <t xml:space="preserve">Status</t>
  </si>
  <si>
    <t xml:space="preserve">w × Cov (Equity)</t>
  </si>
  <si>
    <t xml:space="preserve">w × Cov (DM Gov)</t>
  </si>
  <si>
    <t xml:space="preserve">w × Cov (Bonds other)</t>
  </si>
  <si>
    <t xml:space="preserve">w × Cov (Property)</t>
  </si>
  <si>
    <t xml:space="preserve">w × Cov (Gold)</t>
  </si>
  <si>
    <t xml:space="preserve">w × Cov (Hedge funds)</t>
  </si>
  <si>
    <t xml:space="preserve">w × Cov (Cash)</t>
  </si>
  <si>
    <t xml:space="preserve">Solver objective (maximise)</t>
  </si>
  <si>
    <t xml:space="preserve">Variance in column K is w × Cov × wᵀ, built with MMULT in the grey helper columns S:Y. The weight cells B7:H16 are pre-solved for the illustrative inputs; re-run Solver after updating Inputs or Strategies.</t>
  </si>
  <si>
    <t xml:space="preserve">Minimum weights (linked from Strategies)</t>
  </si>
  <si>
    <t xml:space="preserve">Maximum weights (linked from Strategies)</t>
  </si>
  <si>
    <t xml:space="preserve">Comparison of RISKOptimizer weights with the Solver benchmark</t>
  </si>
  <si>
    <t xml:space="preserve">Paste the final RISKOptimizer weights (as values, in %) into the yellow cells B7:H16. Rows left blank show n/a.</t>
  </si>
  <si>
    <t xml:space="preserve">Tolerances</t>
  </si>
  <si>
    <t xml:space="preserve">Weight difference vs Solver (per composite)</t>
  </si>
  <si>
    <t xml:space="preserve">Expected return difference vs Solver</t>
  </si>
  <si>
    <t xml:space="preserve">Volatility difference vs Solver</t>
  </si>
  <si>
    <t xml:space="preserve">Bound breach</t>
  </si>
  <si>
    <t xml:space="preserve">Volatility above target</t>
  </si>
  <si>
    <t xml:space="preserve">Yield below minimum</t>
  </si>
  <si>
    <t xml:space="preserve">1. RISKOptimizer weights and characteristics</t>
  </si>
  <si>
    <t xml:space="preserve">Example (format only)</t>
  </si>
  <si>
    <t xml:space="preserve">Example row = starting weights shown for Defensive in the MO's SAA Instructions (147, 296, 179, 47, 44, 97, 190 out of 1,000). Not part of the check.</t>
  </si>
  <si>
    <t xml:space="preserve">2. Weight difference: RISKOptimizer minus Solver (percentage points)</t>
  </si>
  <si>
    <t xml:space="preserve">Largest absolute difference</t>
  </si>
  <si>
    <t xml:space="preserve">Expected return diff.</t>
  </si>
  <si>
    <t xml:space="preserve">Volatility diff.</t>
  </si>
  <si>
    <t xml:space="preserve">Benchmark status</t>
  </si>
  <si>
    <t xml:space="preserve">3. Constraint check on the RISKOptimizer weights</t>
  </si>
  <si>
    <t xml:space="preserve">Bound breaches (count)</t>
  </si>
  <si>
    <t xml:space="preserve">Largest bound breach</t>
  </si>
  <si>
    <t xml:space="preserve">Constraint status</t>
  </si>
  <si>
    <t xml:space="preserve">Bound breaches count composites outside their limits by more than the bound tolerance. 'Largest bound breach' shows the biggest breach before tolerance, so small accepted breaches remain visible.</t>
  </si>
  <si>
    <t xml:space="preserve">Run log – Solver benchmark</t>
  </si>
  <si>
    <t xml:space="preserve">Add one row per strategy with a CHECK result (or one row per annual run if everything passes).</t>
  </si>
  <si>
    <t xml:space="preserve">Date</t>
  </si>
  <si>
    <t xml:space="preserve">Run by</t>
  </si>
  <si>
    <t xml:space="preserve">Reviewed by</t>
  </si>
  <si>
    <t xml:space="preserve">Difference beyond tolerance</t>
  </si>
  <si>
    <t xml:space="preserve">Explanation</t>
  </si>
  <si>
    <t xml:space="preserve">Action taken</t>
  </si>
  <si>
    <t xml:space="preserve">Sign-off</t>
  </si>
  <si>
    <t xml:space="preserve">dd/mm/yyyy</t>
  </si>
  <si>
    <t xml:space="preserve">Analyst name</t>
  </si>
  <si>
    <t xml:space="preserve">Reviewer name</t>
  </si>
  <si>
    <t xml:space="preserve">CHECK</t>
  </si>
  <si>
    <t xml:space="preserve">PASS</t>
  </si>
  <si>
    <t xml:space="preserve">Equity 1.4 pp higher than Solver</t>
  </si>
  <si>
    <t xml:space="preserve">e.g. RISKOptimizer volatility measured on simulated paths; vol 0.03 pp above target, within tolerance</t>
  </si>
  <si>
    <t xml:space="preserve">Accepted; re-run with 1,000 iterations gave same result</t>
  </si>
  <si>
    <t xml:space="preserve">Reviewer initials</t>
  </si>
  <si>
    <t xml:space="preserve">(example row above – format only)</t>
  </si>
</sst>
</file>

<file path=xl/styles.xml><?xml version="1.0" encoding="utf-8"?>
<styleSheet xmlns="http://schemas.openxmlformats.org/spreadsheetml/2006/main">
  <numFmts count="8">
    <numFmt numFmtId="164" formatCode="General"/>
    <numFmt numFmtId="165" formatCode="0.000%"/>
    <numFmt numFmtId="166" formatCode="0.00"/>
    <numFmt numFmtId="167" formatCode="0.000000"/>
    <numFmt numFmtId="168" formatCode="0.0%"/>
    <numFmt numFmtId="169" formatCode="0.00%"/>
    <numFmt numFmtId="170" formatCode="0.0000%"/>
    <numFmt numFmtId="171" formatCode="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0"/>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sz val="10"/>
      <name val="Arial"/>
      <family val="2"/>
    </font>
    <font>
      <sz val="10"/>
      <color rgb="FF008000"/>
      <name val="Arial"/>
      <family val="0"/>
      <charset val="1"/>
    </font>
    <font>
      <b val="true"/>
      <sz val="10"/>
      <color rgb="FF008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9" fontId="10" fillId="3"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7.35" hidden="false" customHeight="false" outlineLevel="0" collapsed="false">
      <c r="B1" s="1" t="s">
        <v>0</v>
      </c>
    </row>
    <row r="2" customFormat="false" ht="15" hidden="false" customHeight="false" outlineLevel="0" collapsed="false">
      <c r="B2" s="2"/>
    </row>
    <row r="3" customFormat="false" ht="15" hidden="false" customHeight="false" outlineLevel="0" collapsed="false">
      <c r="B3" s="3" t="s">
        <v>1</v>
      </c>
    </row>
    <row r="4" customFormat="false" ht="23.85" hidden="false" customHeight="false" outlineLevel="0" collapsed="false">
      <c r="B4" s="4" t="s">
        <v>2</v>
      </c>
    </row>
    <row r="5" customFormat="false" ht="23.85" hidden="false" customHeight="false" outlineLevel="0" collapsed="false">
      <c r="B5" s="4" t="s">
        <v>3</v>
      </c>
    </row>
    <row r="6" customFormat="false" ht="15" hidden="false" customHeight="false" outlineLevel="0" collapsed="false">
      <c r="B6" s="2"/>
    </row>
    <row r="7" customFormat="false" ht="15" hidden="false" customHeight="false" outlineLevel="0" collapsed="false">
      <c r="B7" s="3" t="s">
        <v>4</v>
      </c>
    </row>
    <row r="8" customFormat="false" ht="15" hidden="false" customHeight="false" outlineLevel="0" collapsed="false">
      <c r="B8" s="4" t="s">
        <v>5</v>
      </c>
    </row>
    <row r="9" customFormat="false" ht="15" hidden="false" customHeight="false" outlineLevel="0" collapsed="false">
      <c r="B9" s="4" t="s">
        <v>6</v>
      </c>
    </row>
    <row r="10" customFormat="false" ht="15" hidden="false" customHeight="false" outlineLevel="0" collapsed="false">
      <c r="B10" s="4" t="s">
        <v>7</v>
      </c>
    </row>
    <row r="11" customFormat="false" ht="15" hidden="false" customHeight="false" outlineLevel="0" collapsed="false">
      <c r="B11" s="4" t="s">
        <v>8</v>
      </c>
    </row>
    <row r="12" customFormat="false" ht="15" hidden="false" customHeight="false" outlineLevel="0" collapsed="false">
      <c r="B12" s="4" t="s">
        <v>9</v>
      </c>
    </row>
    <row r="13" customFormat="false" ht="15" hidden="false" customHeight="false" outlineLevel="0" collapsed="false">
      <c r="B13" s="2"/>
    </row>
    <row r="14" customFormat="false" ht="15" hidden="false" customHeight="false" outlineLevel="0" collapsed="false">
      <c r="B14" s="3" t="s">
        <v>10</v>
      </c>
    </row>
    <row r="15" customFormat="false" ht="23.85" hidden="false" customHeight="false" outlineLevel="0" collapsed="false">
      <c r="B15" s="4" t="s">
        <v>11</v>
      </c>
    </row>
    <row r="16" customFormat="false" ht="15" hidden="false" customHeight="false" outlineLevel="0" collapsed="false">
      <c r="B16" s="2"/>
    </row>
    <row r="17" customFormat="false" ht="15" hidden="false" customHeight="false" outlineLevel="0" collapsed="false">
      <c r="B17" s="3" t="s">
        <v>12</v>
      </c>
    </row>
    <row r="18" customFormat="false" ht="35.05" hidden="false" customHeight="false" outlineLevel="0" collapsed="false">
      <c r="B18" s="4" t="s">
        <v>13</v>
      </c>
    </row>
    <row r="19" customFormat="false" ht="15" hidden="false" customHeight="false" outlineLevel="0" collapsed="false">
      <c r="B19" s="2"/>
    </row>
    <row r="20" customFormat="false" ht="15" hidden="false" customHeight="false" outlineLevel="0" collapsed="false">
      <c r="B20" s="3" t="s">
        <v>14</v>
      </c>
    </row>
    <row r="21" customFormat="false" ht="23.85" hidden="false" customHeight="false" outlineLevel="0" collapsed="false">
      <c r="B21" s="4" t="s">
        <v>15</v>
      </c>
    </row>
    <row r="22" customFormat="false" ht="15" hidden="false" customHeight="false" outlineLevel="0" collapsed="false">
      <c r="B22" s="4" t="s">
        <v>16</v>
      </c>
    </row>
    <row r="23" customFormat="false" ht="23.85" hidden="false" customHeight="false" outlineLevel="0" collapsed="false">
      <c r="B23" s="4" t="s">
        <v>17</v>
      </c>
    </row>
    <row r="24" customFormat="false" ht="15" hidden="false" customHeight="false" outlineLevel="0" collapsed="false">
      <c r="B24" s="4" t="s">
        <v>18</v>
      </c>
    </row>
    <row r="25" customFormat="false" ht="15" hidden="false" customHeight="false" outlineLevel="0" collapsed="false">
      <c r="B25" s="4" t="s">
        <v>19</v>
      </c>
    </row>
    <row r="26" customFormat="false" ht="15" hidden="false" customHeight="false" outlineLevel="0" collapsed="false">
      <c r="B26" s="2"/>
    </row>
    <row r="27" customFormat="false" ht="15" hidden="false" customHeight="false" outlineLevel="0" collapsed="false">
      <c r="B27" s="3" t="s">
        <v>20</v>
      </c>
    </row>
    <row r="28" customFormat="false" ht="15" hidden="false" customHeight="false" outlineLevel="0" collapsed="false">
      <c r="B28" s="4" t="s">
        <v>21</v>
      </c>
    </row>
    <row r="29" customFormat="false" ht="15" hidden="false" customHeight="false" outlineLevel="0" collapsed="false">
      <c r="B29" s="4" t="s">
        <v>22</v>
      </c>
    </row>
    <row r="30" customFormat="false" ht="15" hidden="false" customHeight="false" outlineLevel="0" collapsed="false">
      <c r="B30" s="4" t="s">
        <v>23</v>
      </c>
    </row>
    <row r="31" customFormat="false" ht="15" hidden="false" customHeight="false" outlineLevel="0" collapsed="false">
      <c r="B31" s="4" t="s">
        <v>24</v>
      </c>
    </row>
    <row r="32" customFormat="false" ht="15" hidden="false" customHeight="false" outlineLevel="0" collapsed="false">
      <c r="B32" s="4" t="s">
        <v>25</v>
      </c>
    </row>
    <row r="33" customFormat="false" ht="15" hidden="false" customHeight="false" outlineLevel="0" collapsed="false">
      <c r="B33" s="4" t="s">
        <v>26</v>
      </c>
    </row>
    <row r="34" customFormat="false" ht="15" hidden="false" customHeight="false" outlineLevel="0" collapsed="false">
      <c r="B34" s="4" t="s">
        <v>27</v>
      </c>
    </row>
    <row r="35" customFormat="false" ht="23.85" hidden="false" customHeight="false" outlineLevel="0" collapsed="false">
      <c r="B35" s="4" t="s">
        <v>28</v>
      </c>
    </row>
    <row r="36" customFormat="false" ht="15" hidden="false" customHeight="false" outlineLevel="0" collapsed="false">
      <c r="B36" s="2"/>
    </row>
    <row r="37" customFormat="false" ht="15" hidden="false" customHeight="false" outlineLevel="0" collapsed="false">
      <c r="B37" s="3" t="s">
        <v>29</v>
      </c>
    </row>
    <row r="38" customFormat="false" ht="46.25" hidden="false" customHeight="false" outlineLevel="0" collapsed="false">
      <c r="B38" s="4"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8" min="2" style="0" width="13"/>
  </cols>
  <sheetData>
    <row r="1" customFormat="false" ht="17.35" hidden="false" customHeight="false" outlineLevel="0" collapsed="false">
      <c r="A1" s="5" t="s">
        <v>31</v>
      </c>
    </row>
    <row r="2" customFormat="false" ht="15" hidden="false" customHeight="false" outlineLevel="0" collapsed="false">
      <c r="A2" s="6" t="s">
        <v>32</v>
      </c>
    </row>
    <row r="4" customFormat="false" ht="23.85" hidden="false" customHeight="false" outlineLevel="0" collapsed="false">
      <c r="A4" s="7" t="s">
        <v>33</v>
      </c>
      <c r="B4" s="7" t="s">
        <v>34</v>
      </c>
      <c r="C4" s="7" t="s">
        <v>35</v>
      </c>
      <c r="D4" s="7" t="s">
        <v>36</v>
      </c>
    </row>
    <row r="5" customFormat="false" ht="15" hidden="false" customHeight="false" outlineLevel="0" collapsed="false">
      <c r="A5" s="8" t="s">
        <v>37</v>
      </c>
      <c r="B5" s="9" t="n">
        <v>0.06039</v>
      </c>
      <c r="C5" s="9" t="n">
        <v>0.135</v>
      </c>
      <c r="D5" s="9" t="n">
        <v>0.0204</v>
      </c>
    </row>
    <row r="6" customFormat="false" ht="15" hidden="false" customHeight="false" outlineLevel="0" collapsed="false">
      <c r="A6" s="8" t="s">
        <v>38</v>
      </c>
      <c r="B6" s="9" t="n">
        <v>0.00723</v>
      </c>
      <c r="C6" s="9" t="n">
        <v>0.042</v>
      </c>
      <c r="D6" s="9" t="n">
        <v>0.00607</v>
      </c>
    </row>
    <row r="7" customFormat="false" ht="15" hidden="false" customHeight="false" outlineLevel="0" collapsed="false">
      <c r="A7" s="8" t="s">
        <v>39</v>
      </c>
      <c r="B7" s="9" t="n">
        <v>0.03307</v>
      </c>
      <c r="C7" s="9" t="n">
        <v>0.065</v>
      </c>
      <c r="D7" s="9" t="n">
        <v>0.03816</v>
      </c>
    </row>
    <row r="8" customFormat="false" ht="15" hidden="false" customHeight="false" outlineLevel="0" collapsed="false">
      <c r="A8" s="8" t="s">
        <v>40</v>
      </c>
      <c r="B8" s="9" t="n">
        <v>0.04507</v>
      </c>
      <c r="C8" s="9" t="n">
        <v>0.116</v>
      </c>
      <c r="D8" s="9" t="n">
        <v>0.02597</v>
      </c>
    </row>
    <row r="9" customFormat="false" ht="15" hidden="false" customHeight="false" outlineLevel="0" collapsed="false">
      <c r="A9" s="8" t="s">
        <v>41</v>
      </c>
      <c r="B9" s="9" t="n">
        <v>0.03798</v>
      </c>
      <c r="C9" s="9" t="n">
        <v>0.178</v>
      </c>
      <c r="D9" s="9" t="n">
        <v>0</v>
      </c>
    </row>
    <row r="10" customFormat="false" ht="15" hidden="false" customHeight="false" outlineLevel="0" collapsed="false">
      <c r="A10" s="8" t="s">
        <v>42</v>
      </c>
      <c r="B10" s="9" t="n">
        <v>0.01689</v>
      </c>
      <c r="C10" s="9" t="n">
        <v>0.036</v>
      </c>
      <c r="D10" s="9" t="n">
        <v>0</v>
      </c>
    </row>
    <row r="11" customFormat="false" ht="15" hidden="false" customHeight="false" outlineLevel="0" collapsed="false">
      <c r="A11" s="8" t="s">
        <v>43</v>
      </c>
      <c r="B11" s="9" t="n">
        <v>0.0005</v>
      </c>
      <c r="C11" s="9" t="n">
        <v>0.005</v>
      </c>
      <c r="D11" s="9" t="n">
        <v>0.0005</v>
      </c>
    </row>
    <row r="13" customFormat="false" ht="15" hidden="false" customHeight="false" outlineLevel="0" collapsed="false">
      <c r="A13" s="10" t="s">
        <v>44</v>
      </c>
    </row>
    <row r="14" customFormat="false" ht="15" hidden="false" customHeight="false" outlineLevel="0" collapsed="false">
      <c r="A14" s="8"/>
      <c r="B14" s="7" t="s">
        <v>37</v>
      </c>
      <c r="C14" s="7" t="s">
        <v>45</v>
      </c>
      <c r="D14" s="7" t="s">
        <v>46</v>
      </c>
      <c r="E14" s="7" t="s">
        <v>40</v>
      </c>
      <c r="F14" s="7" t="s">
        <v>41</v>
      </c>
      <c r="G14" s="7" t="s">
        <v>42</v>
      </c>
      <c r="H14" s="7" t="s">
        <v>43</v>
      </c>
    </row>
    <row r="15" customFormat="false" ht="15" hidden="false" customHeight="false" outlineLevel="0" collapsed="false">
      <c r="A15" s="8" t="s">
        <v>37</v>
      </c>
      <c r="B15" s="11" t="n">
        <v>1</v>
      </c>
      <c r="C15" s="11" t="n">
        <v>-0.01</v>
      </c>
      <c r="D15" s="11" t="n">
        <v>0.72</v>
      </c>
      <c r="E15" s="11" t="n">
        <v>0.59</v>
      </c>
      <c r="F15" s="11" t="n">
        <v>0</v>
      </c>
      <c r="G15" s="11" t="n">
        <v>0.5</v>
      </c>
      <c r="H15" s="11" t="n">
        <v>-0.16</v>
      </c>
    </row>
    <row r="16" customFormat="false" ht="15" hidden="false" customHeight="false" outlineLevel="0" collapsed="false">
      <c r="A16" s="8" t="s">
        <v>45</v>
      </c>
      <c r="B16" s="11" t="n">
        <v>-0.01</v>
      </c>
      <c r="C16" s="11" t="n">
        <v>1</v>
      </c>
      <c r="D16" s="11" t="n">
        <v>0.3</v>
      </c>
      <c r="E16" s="11" t="n">
        <v>0.16</v>
      </c>
      <c r="F16" s="11" t="n">
        <v>0.26</v>
      </c>
      <c r="G16" s="11" t="n">
        <v>-0.17</v>
      </c>
      <c r="H16" s="11" t="n">
        <v>0.04</v>
      </c>
    </row>
    <row r="17" customFormat="false" ht="15" hidden="false" customHeight="false" outlineLevel="0" collapsed="false">
      <c r="A17" s="8" t="s">
        <v>46</v>
      </c>
      <c r="B17" s="11" t="n">
        <v>0.72</v>
      </c>
      <c r="C17" s="11" t="n">
        <v>0.3</v>
      </c>
      <c r="D17" s="11" t="n">
        <v>1</v>
      </c>
      <c r="E17" s="11" t="n">
        <v>0.53</v>
      </c>
      <c r="F17" s="11" t="n">
        <v>0.29</v>
      </c>
      <c r="G17" s="11" t="n">
        <v>0.47</v>
      </c>
      <c r="H17" s="11" t="n">
        <v>-0.08</v>
      </c>
    </row>
    <row r="18" customFormat="false" ht="15" hidden="false" customHeight="false" outlineLevel="0" collapsed="false">
      <c r="A18" s="8" t="s">
        <v>40</v>
      </c>
      <c r="B18" s="11" t="n">
        <v>0.59</v>
      </c>
      <c r="C18" s="11" t="n">
        <v>0.16</v>
      </c>
      <c r="D18" s="11" t="n">
        <v>0.53</v>
      </c>
      <c r="E18" s="11" t="n">
        <v>1</v>
      </c>
      <c r="F18" s="11" t="n">
        <v>0.04</v>
      </c>
      <c r="G18" s="11" t="n">
        <v>0.31</v>
      </c>
      <c r="H18" s="11" t="n">
        <v>-0.18</v>
      </c>
    </row>
    <row r="19" customFormat="false" ht="15" hidden="false" customHeight="false" outlineLevel="0" collapsed="false">
      <c r="A19" s="8" t="s">
        <v>41</v>
      </c>
      <c r="B19" s="11" t="n">
        <v>0</v>
      </c>
      <c r="C19" s="11" t="n">
        <v>0.26</v>
      </c>
      <c r="D19" s="11" t="n">
        <v>0.29</v>
      </c>
      <c r="E19" s="11" t="n">
        <v>0.04</v>
      </c>
      <c r="F19" s="11" t="n">
        <v>1</v>
      </c>
      <c r="G19" s="11" t="n">
        <v>0.27</v>
      </c>
      <c r="H19" s="11" t="n">
        <v>0.08</v>
      </c>
    </row>
    <row r="20" customFormat="false" ht="15" hidden="false" customHeight="false" outlineLevel="0" collapsed="false">
      <c r="A20" s="8" t="s">
        <v>42</v>
      </c>
      <c r="B20" s="11" t="n">
        <v>0.5</v>
      </c>
      <c r="C20" s="11" t="n">
        <v>-0.17</v>
      </c>
      <c r="D20" s="11" t="n">
        <v>0.47</v>
      </c>
      <c r="E20" s="11" t="n">
        <v>0.31</v>
      </c>
      <c r="F20" s="11" t="n">
        <v>0.27</v>
      </c>
      <c r="G20" s="11" t="n">
        <v>1</v>
      </c>
      <c r="H20" s="11" t="n">
        <v>-0.02</v>
      </c>
    </row>
    <row r="21" customFormat="false" ht="15" hidden="false" customHeight="false" outlineLevel="0" collapsed="false">
      <c r="A21" s="8" t="s">
        <v>43</v>
      </c>
      <c r="B21" s="11" t="n">
        <v>-0.16</v>
      </c>
      <c r="C21" s="11" t="n">
        <v>0.04</v>
      </c>
      <c r="D21" s="11" t="n">
        <v>-0.08</v>
      </c>
      <c r="E21" s="11" t="n">
        <v>-0.18</v>
      </c>
      <c r="F21" s="11" t="n">
        <v>0.08</v>
      </c>
      <c r="G21" s="11" t="n">
        <v>-0.02</v>
      </c>
      <c r="H21" s="11" t="n">
        <v>1</v>
      </c>
    </row>
    <row r="22" customFormat="false" ht="15" hidden="false" customHeight="false" outlineLevel="0" collapsed="false">
      <c r="A22" s="6" t="s">
        <v>47</v>
      </c>
      <c r="B22" s="12" t="n">
        <f aca="false">MAX(ABS(C15-B16),ABS(D15-B17),ABS(E15-B18),ABS(F15-B19),ABS(G15-B20),ABS(H15-B21),ABS(D16-C17),ABS(E16-C18),ABS(F16-C19),ABS(G16-C20),ABS(H16-C21),ABS(E17-D18),ABS(F17-D19),ABS(G17-D20),ABS(H17-D21),ABS(F18-E19),ABS(G18-E20),ABS(H18-E21),ABS(G19-F20),ABS(H19-F21),ABS(H20-G21))</f>
        <v>0</v>
      </c>
      <c r="C22" s="8" t="str">
        <f aca="false">IF(AND(B22&lt;0.000001,B15=1,C16=1,D17=1,E18=1,F19=1,G20=1,H21=1),"PASS","CHECK")</f>
        <v>PASS</v>
      </c>
    </row>
    <row r="24" customFormat="false" ht="15" hidden="false" customHeight="false" outlineLevel="0" collapsed="false">
      <c r="A24" s="10" t="s">
        <v>48</v>
      </c>
    </row>
    <row r="25" customFormat="false" ht="15" hidden="false" customHeight="false" outlineLevel="0" collapsed="false">
      <c r="A25" s="8"/>
      <c r="B25" s="7" t="s">
        <v>37</v>
      </c>
      <c r="C25" s="7" t="s">
        <v>45</v>
      </c>
      <c r="D25" s="7" t="s">
        <v>46</v>
      </c>
      <c r="E25" s="7" t="s">
        <v>40</v>
      </c>
      <c r="F25" s="7" t="s">
        <v>41</v>
      </c>
      <c r="G25" s="7" t="s">
        <v>42</v>
      </c>
      <c r="H25" s="7" t="s">
        <v>43</v>
      </c>
    </row>
    <row r="26" customFormat="false" ht="15" hidden="false" customHeight="false" outlineLevel="0" collapsed="false">
      <c r="A26" s="8" t="s">
        <v>37</v>
      </c>
      <c r="B26" s="13" t="n">
        <f aca="false">$C$5*$C$5*B15</f>
        <v>0.018225</v>
      </c>
      <c r="C26" s="13" t="n">
        <f aca="false">$C$5*$C$6*C15</f>
        <v>-5.67E-005</v>
      </c>
      <c r="D26" s="13" t="n">
        <f aca="false">$C$5*$C$7*D15</f>
        <v>0.006318</v>
      </c>
      <c r="E26" s="13" t="n">
        <f aca="false">$C$5*$C$8*E15</f>
        <v>0.0092394</v>
      </c>
      <c r="F26" s="13" t="n">
        <f aca="false">$C$5*$C$9*F15</f>
        <v>0</v>
      </c>
      <c r="G26" s="13" t="n">
        <f aca="false">$C$5*$C$10*G15</f>
        <v>0.00243</v>
      </c>
      <c r="H26" s="13" t="n">
        <f aca="false">$C$5*$C$11*H15</f>
        <v>-0.000108</v>
      </c>
    </row>
    <row r="27" customFormat="false" ht="15" hidden="false" customHeight="false" outlineLevel="0" collapsed="false">
      <c r="A27" s="8" t="s">
        <v>45</v>
      </c>
      <c r="B27" s="13" t="n">
        <f aca="false">$C$6*$C$5*B16</f>
        <v>-5.67E-005</v>
      </c>
      <c r="C27" s="13" t="n">
        <f aca="false">$C$6*$C$6*C16</f>
        <v>0.001764</v>
      </c>
      <c r="D27" s="13" t="n">
        <f aca="false">$C$6*$C$7*D16</f>
        <v>0.000819</v>
      </c>
      <c r="E27" s="13" t="n">
        <f aca="false">$C$6*$C$8*E16</f>
        <v>0.00077952</v>
      </c>
      <c r="F27" s="13" t="n">
        <f aca="false">$C$6*$C$9*F16</f>
        <v>0.00194376</v>
      </c>
      <c r="G27" s="13" t="n">
        <f aca="false">$C$6*$C$10*G16</f>
        <v>-0.00025704</v>
      </c>
      <c r="H27" s="13" t="n">
        <f aca="false">$C$6*$C$11*H16</f>
        <v>8.4E-006</v>
      </c>
    </row>
    <row r="28" customFormat="false" ht="15" hidden="false" customHeight="false" outlineLevel="0" collapsed="false">
      <c r="A28" s="8" t="s">
        <v>46</v>
      </c>
      <c r="B28" s="13" t="n">
        <f aca="false">$C$7*$C$5*B17</f>
        <v>0.006318</v>
      </c>
      <c r="C28" s="13" t="n">
        <f aca="false">$C$7*$C$6*C17</f>
        <v>0.000819</v>
      </c>
      <c r="D28" s="13" t="n">
        <f aca="false">$C$7*$C$7*D17</f>
        <v>0.004225</v>
      </c>
      <c r="E28" s="13" t="n">
        <f aca="false">$C$7*$C$8*E17</f>
        <v>0.0039962</v>
      </c>
      <c r="F28" s="13" t="n">
        <f aca="false">$C$7*$C$9*F17</f>
        <v>0.0033553</v>
      </c>
      <c r="G28" s="13" t="n">
        <f aca="false">$C$7*$C$10*G17</f>
        <v>0.0010998</v>
      </c>
      <c r="H28" s="13" t="n">
        <f aca="false">$C$7*$C$11*H17</f>
        <v>-2.6E-005</v>
      </c>
    </row>
    <row r="29" customFormat="false" ht="15" hidden="false" customHeight="false" outlineLevel="0" collapsed="false">
      <c r="A29" s="8" t="s">
        <v>40</v>
      </c>
      <c r="B29" s="13" t="n">
        <f aca="false">$C$8*$C$5*B18</f>
        <v>0.0092394</v>
      </c>
      <c r="C29" s="13" t="n">
        <f aca="false">$C$8*$C$6*C18</f>
        <v>0.00077952</v>
      </c>
      <c r="D29" s="13" t="n">
        <f aca="false">$C$8*$C$7*D18</f>
        <v>0.0039962</v>
      </c>
      <c r="E29" s="13" t="n">
        <f aca="false">$C$8*$C$8*E18</f>
        <v>0.013456</v>
      </c>
      <c r="F29" s="13" t="n">
        <f aca="false">$C$8*$C$9*F18</f>
        <v>0.00082592</v>
      </c>
      <c r="G29" s="13" t="n">
        <f aca="false">$C$8*$C$10*G18</f>
        <v>0.00129456</v>
      </c>
      <c r="H29" s="13" t="n">
        <f aca="false">$C$8*$C$11*H18</f>
        <v>-0.0001044</v>
      </c>
    </row>
    <row r="30" customFormat="false" ht="15" hidden="false" customHeight="false" outlineLevel="0" collapsed="false">
      <c r="A30" s="8" t="s">
        <v>41</v>
      </c>
      <c r="B30" s="13" t="n">
        <f aca="false">$C$9*$C$5*B19</f>
        <v>0</v>
      </c>
      <c r="C30" s="13" t="n">
        <f aca="false">$C$9*$C$6*C19</f>
        <v>0.00194376</v>
      </c>
      <c r="D30" s="13" t="n">
        <f aca="false">$C$9*$C$7*D19</f>
        <v>0.0033553</v>
      </c>
      <c r="E30" s="13" t="n">
        <f aca="false">$C$9*$C$8*E19</f>
        <v>0.00082592</v>
      </c>
      <c r="F30" s="13" t="n">
        <f aca="false">$C$9*$C$9*F19</f>
        <v>0.031684</v>
      </c>
      <c r="G30" s="13" t="n">
        <f aca="false">$C$9*$C$10*G19</f>
        <v>0.00173016</v>
      </c>
      <c r="H30" s="13" t="n">
        <f aca="false">$C$9*$C$11*H19</f>
        <v>7.12E-005</v>
      </c>
    </row>
    <row r="31" customFormat="false" ht="15" hidden="false" customHeight="false" outlineLevel="0" collapsed="false">
      <c r="A31" s="8" t="s">
        <v>42</v>
      </c>
      <c r="B31" s="13" t="n">
        <f aca="false">$C$10*$C$5*B20</f>
        <v>0.00243</v>
      </c>
      <c r="C31" s="13" t="n">
        <f aca="false">$C$10*$C$6*C20</f>
        <v>-0.00025704</v>
      </c>
      <c r="D31" s="13" t="n">
        <f aca="false">$C$10*$C$7*D20</f>
        <v>0.0010998</v>
      </c>
      <c r="E31" s="13" t="n">
        <f aca="false">$C$10*$C$8*E20</f>
        <v>0.00129456</v>
      </c>
      <c r="F31" s="13" t="n">
        <f aca="false">$C$10*$C$9*F20</f>
        <v>0.00173016</v>
      </c>
      <c r="G31" s="13" t="n">
        <f aca="false">$C$10*$C$10*G20</f>
        <v>0.001296</v>
      </c>
      <c r="H31" s="13" t="n">
        <f aca="false">$C$10*$C$11*H20</f>
        <v>-3.6E-006</v>
      </c>
    </row>
    <row r="32" customFormat="false" ht="15" hidden="false" customHeight="false" outlineLevel="0" collapsed="false">
      <c r="A32" s="8" t="s">
        <v>43</v>
      </c>
      <c r="B32" s="13" t="n">
        <f aca="false">$C$11*$C$5*B21</f>
        <v>-0.000108</v>
      </c>
      <c r="C32" s="13" t="n">
        <f aca="false">$C$11*$C$6*C21</f>
        <v>8.4E-006</v>
      </c>
      <c r="D32" s="13" t="n">
        <f aca="false">$C$11*$C$7*D21</f>
        <v>-2.6E-005</v>
      </c>
      <c r="E32" s="13" t="n">
        <f aca="false">$C$11*$C$8*E21</f>
        <v>-0.0001044</v>
      </c>
      <c r="F32" s="13" t="n">
        <f aca="false">$C$11*$C$9*F21</f>
        <v>7.12E-005</v>
      </c>
      <c r="G32" s="13" t="n">
        <f aca="false">$C$11*$C$10*G21</f>
        <v>-3.6E-006</v>
      </c>
      <c r="H32" s="13" t="n">
        <f aca="false">$C$11*$C$11*H21</f>
        <v>2.5E-005</v>
      </c>
    </row>
  </sheetData>
  <conditionalFormatting sqref="C22">
    <cfRule type="cellIs" priority="2" operator="equal" aboveAverage="0" equalAverage="0" bottom="0" percent="0" rank="0" text="" dxfId="0">
      <formula>"PASS"</formula>
    </cfRule>
    <cfRule type="cellIs" priority="3" operator="equal" aboveAverage="0" equalAverage="0" bottom="0" percent="0" rank="0" text="" dxfId="1">
      <formula>"CHECK"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8" min="2" style="0" width="11"/>
  </cols>
  <sheetData>
    <row r="1" customFormat="false" ht="17.35" hidden="false" customHeight="false" outlineLevel="0" collapsed="false">
      <c r="A1" s="5" t="s">
        <v>49</v>
      </c>
    </row>
    <row r="2" customFormat="false" ht="15" hidden="false" customHeight="false" outlineLevel="0" collapsed="false">
      <c r="A2" s="6" t="s">
        <v>50</v>
      </c>
    </row>
    <row r="3" customFormat="false" ht="15" hidden="false" customHeight="true" outlineLevel="0" collapsed="false">
      <c r="E3" s="14" t="s">
        <v>51</v>
      </c>
      <c r="F3" s="14"/>
      <c r="G3" s="14"/>
      <c r="H3" s="14"/>
      <c r="I3" s="14"/>
      <c r="J3" s="14"/>
      <c r="K3" s="14"/>
      <c r="L3" s="14" t="s">
        <v>52</v>
      </c>
      <c r="M3" s="14"/>
      <c r="N3" s="14"/>
      <c r="O3" s="14"/>
      <c r="P3" s="14"/>
      <c r="Q3" s="14"/>
      <c r="R3" s="14"/>
    </row>
    <row r="4" customFormat="false" ht="42" hidden="false" customHeight="true" outlineLevel="0" collapsed="false">
      <c r="A4" s="7" t="s">
        <v>53</v>
      </c>
      <c r="B4" s="7" t="s">
        <v>54</v>
      </c>
      <c r="C4" s="7" t="s">
        <v>55</v>
      </c>
      <c r="D4" s="7" t="s">
        <v>56</v>
      </c>
      <c r="E4" s="7" t="s">
        <v>37</v>
      </c>
      <c r="F4" s="7" t="s">
        <v>45</v>
      </c>
      <c r="G4" s="7" t="s">
        <v>46</v>
      </c>
      <c r="H4" s="7" t="s">
        <v>40</v>
      </c>
      <c r="I4" s="7" t="s">
        <v>41</v>
      </c>
      <c r="J4" s="7" t="s">
        <v>42</v>
      </c>
      <c r="K4" s="7" t="s">
        <v>43</v>
      </c>
      <c r="L4" s="7" t="s">
        <v>37</v>
      </c>
      <c r="M4" s="7" t="s">
        <v>45</v>
      </c>
      <c r="N4" s="7" t="s">
        <v>46</v>
      </c>
      <c r="O4" s="7" t="s">
        <v>40</v>
      </c>
      <c r="P4" s="7" t="s">
        <v>41</v>
      </c>
      <c r="Q4" s="7" t="s">
        <v>42</v>
      </c>
      <c r="R4" s="7" t="s">
        <v>43</v>
      </c>
    </row>
    <row r="5" customFormat="false" ht="15" hidden="false" customHeight="false" outlineLevel="0" collapsed="false">
      <c r="A5" s="8" t="s">
        <v>57</v>
      </c>
      <c r="B5" s="15" t="n">
        <v>0.3</v>
      </c>
      <c r="C5" s="16" t="n">
        <f aca="false">B5*Inputs!$C$5</f>
        <v>0.0405</v>
      </c>
      <c r="D5" s="17" t="n">
        <v>0</v>
      </c>
      <c r="E5" s="15" t="n">
        <v>0</v>
      </c>
      <c r="F5" s="15" t="n">
        <v>0</v>
      </c>
      <c r="G5" s="15" t="n">
        <v>0</v>
      </c>
      <c r="H5" s="15" t="n">
        <v>0</v>
      </c>
      <c r="I5" s="15" t="n">
        <v>0</v>
      </c>
      <c r="J5" s="15" t="n">
        <v>0</v>
      </c>
      <c r="K5" s="15" t="n">
        <v>0</v>
      </c>
      <c r="L5" s="15" t="n">
        <v>1</v>
      </c>
      <c r="M5" s="15" t="n">
        <v>1</v>
      </c>
      <c r="N5" s="15" t="n">
        <v>0.4</v>
      </c>
      <c r="O5" s="15" t="n">
        <v>0.1</v>
      </c>
      <c r="P5" s="15" t="n">
        <v>0.1</v>
      </c>
      <c r="Q5" s="15" t="n">
        <v>0.15</v>
      </c>
      <c r="R5" s="15" t="n">
        <v>1</v>
      </c>
    </row>
    <row r="6" customFormat="false" ht="15" hidden="false" customHeight="false" outlineLevel="0" collapsed="false">
      <c r="A6" s="8" t="s">
        <v>58</v>
      </c>
      <c r="B6" s="15" t="n">
        <v>0.5</v>
      </c>
      <c r="C6" s="16" t="n">
        <f aca="false">B6*Inputs!$C$5</f>
        <v>0.0675</v>
      </c>
      <c r="D6" s="17" t="n">
        <v>0</v>
      </c>
      <c r="E6" s="15" t="n">
        <v>0</v>
      </c>
      <c r="F6" s="15" t="n">
        <v>0</v>
      </c>
      <c r="G6" s="15" t="n">
        <v>0</v>
      </c>
      <c r="H6" s="15" t="n">
        <v>0</v>
      </c>
      <c r="I6" s="15" t="n">
        <v>0</v>
      </c>
      <c r="J6" s="15" t="n">
        <v>0</v>
      </c>
      <c r="K6" s="15" t="n">
        <v>0</v>
      </c>
      <c r="L6" s="15" t="n">
        <v>1</v>
      </c>
      <c r="M6" s="15" t="n">
        <v>1</v>
      </c>
      <c r="N6" s="15" t="n">
        <v>0.4</v>
      </c>
      <c r="O6" s="15" t="n">
        <v>0.1</v>
      </c>
      <c r="P6" s="15" t="n">
        <v>0.1</v>
      </c>
      <c r="Q6" s="15" t="n">
        <v>0.15</v>
      </c>
      <c r="R6" s="15" t="n">
        <v>1</v>
      </c>
    </row>
    <row r="7" customFormat="false" ht="15" hidden="false" customHeight="false" outlineLevel="0" collapsed="false">
      <c r="A7" s="8" t="s">
        <v>59</v>
      </c>
      <c r="B7" s="15" t="n">
        <v>0.7</v>
      </c>
      <c r="C7" s="16" t="n">
        <f aca="false">B7*Inputs!$C$5</f>
        <v>0.0945</v>
      </c>
      <c r="D7" s="17" t="n">
        <v>0</v>
      </c>
      <c r="E7" s="15" t="n">
        <v>0</v>
      </c>
      <c r="F7" s="15" t="n">
        <v>0</v>
      </c>
      <c r="G7" s="15" t="n">
        <v>0</v>
      </c>
      <c r="H7" s="15" t="n">
        <v>0</v>
      </c>
      <c r="I7" s="15" t="n">
        <v>0</v>
      </c>
      <c r="J7" s="15" t="n">
        <v>0</v>
      </c>
      <c r="K7" s="15" t="n">
        <v>0</v>
      </c>
      <c r="L7" s="15" t="n">
        <v>1</v>
      </c>
      <c r="M7" s="15" t="n">
        <v>1</v>
      </c>
      <c r="N7" s="15" t="n">
        <v>0.4</v>
      </c>
      <c r="O7" s="15" t="n">
        <v>0.1</v>
      </c>
      <c r="P7" s="15" t="n">
        <v>0.1</v>
      </c>
      <c r="Q7" s="15" t="n">
        <v>0.15</v>
      </c>
      <c r="R7" s="15" t="n">
        <v>1</v>
      </c>
    </row>
    <row r="8" customFormat="false" ht="15" hidden="false" customHeight="false" outlineLevel="0" collapsed="false">
      <c r="A8" s="8" t="s">
        <v>60</v>
      </c>
      <c r="B8" s="15" t="n">
        <v>0.9</v>
      </c>
      <c r="C8" s="16" t="n">
        <f aca="false">B8*Inputs!$C$5</f>
        <v>0.1215</v>
      </c>
      <c r="D8" s="17" t="n">
        <v>0</v>
      </c>
      <c r="E8" s="15" t="n">
        <v>0</v>
      </c>
      <c r="F8" s="15" t="n">
        <v>0</v>
      </c>
      <c r="G8" s="15" t="n">
        <v>0</v>
      </c>
      <c r="H8" s="15" t="n">
        <v>0</v>
      </c>
      <c r="I8" s="15" t="n">
        <v>0</v>
      </c>
      <c r="J8" s="15" t="n">
        <v>0</v>
      </c>
      <c r="K8" s="15" t="n">
        <v>0</v>
      </c>
      <c r="L8" s="15" t="n">
        <v>1</v>
      </c>
      <c r="M8" s="15" t="n">
        <v>1</v>
      </c>
      <c r="N8" s="15" t="n">
        <v>0.4</v>
      </c>
      <c r="O8" s="15" t="n">
        <v>0.1</v>
      </c>
      <c r="P8" s="15" t="n">
        <v>0.1</v>
      </c>
      <c r="Q8" s="15" t="n">
        <v>0.15</v>
      </c>
      <c r="R8" s="15" t="n">
        <v>1</v>
      </c>
    </row>
    <row r="9" customFormat="false" ht="15" hidden="false" customHeight="false" outlineLevel="0" collapsed="false">
      <c r="A9" s="8" t="s">
        <v>61</v>
      </c>
      <c r="B9" s="15" t="n">
        <v>0.5</v>
      </c>
      <c r="C9" s="16" t="n">
        <f aca="false">B9*Inputs!$C$5</f>
        <v>0.0675</v>
      </c>
      <c r="D9" s="17" t="n">
        <v>0.024</v>
      </c>
      <c r="E9" s="15" t="n">
        <v>0</v>
      </c>
      <c r="F9" s="15" t="n">
        <v>0</v>
      </c>
      <c r="G9" s="15" t="n">
        <v>0</v>
      </c>
      <c r="H9" s="15" t="n">
        <v>0</v>
      </c>
      <c r="I9" s="15" t="n">
        <v>0</v>
      </c>
      <c r="J9" s="15" t="n">
        <v>0</v>
      </c>
      <c r="K9" s="15" t="n">
        <v>0</v>
      </c>
      <c r="L9" s="15" t="n">
        <v>1</v>
      </c>
      <c r="M9" s="15" t="n">
        <v>1</v>
      </c>
      <c r="N9" s="15" t="n">
        <v>0.4</v>
      </c>
      <c r="O9" s="15" t="n">
        <v>0.1</v>
      </c>
      <c r="P9" s="15" t="n">
        <v>0.1</v>
      </c>
      <c r="Q9" s="15" t="n">
        <v>0.15</v>
      </c>
      <c r="R9" s="15" t="n">
        <v>1</v>
      </c>
    </row>
    <row r="10" customFormat="false" ht="15" hidden="false" customHeight="false" outlineLevel="0" collapsed="false">
      <c r="A10" s="8" t="s">
        <v>62</v>
      </c>
      <c r="B10" s="15" t="n">
        <v>0.7</v>
      </c>
      <c r="C10" s="16" t="n">
        <f aca="false">B10*Inputs!$C$5</f>
        <v>0.0945</v>
      </c>
      <c r="D10" s="17" t="n">
        <v>0.026</v>
      </c>
      <c r="E10" s="15" t="n">
        <v>0</v>
      </c>
      <c r="F10" s="15" t="n">
        <v>0</v>
      </c>
      <c r="G10" s="15" t="n">
        <v>0</v>
      </c>
      <c r="H10" s="15" t="n">
        <v>0</v>
      </c>
      <c r="I10" s="15" t="n">
        <v>0</v>
      </c>
      <c r="J10" s="15" t="n">
        <v>0</v>
      </c>
      <c r="K10" s="15" t="n">
        <v>0</v>
      </c>
      <c r="L10" s="15" t="n">
        <v>1</v>
      </c>
      <c r="M10" s="15" t="n">
        <v>1</v>
      </c>
      <c r="N10" s="15" t="n">
        <v>0.4</v>
      </c>
      <c r="O10" s="15" t="n">
        <v>0.1</v>
      </c>
      <c r="P10" s="15" t="n">
        <v>0.1</v>
      </c>
      <c r="Q10" s="15" t="n">
        <v>0.15</v>
      </c>
      <c r="R10" s="15" t="n">
        <v>1</v>
      </c>
    </row>
    <row r="11" customFormat="false" ht="15" hidden="false" customHeight="false" outlineLevel="0" collapsed="false">
      <c r="A11" s="8" t="s">
        <v>63</v>
      </c>
      <c r="B11" s="15" t="n">
        <v>0.3</v>
      </c>
      <c r="C11" s="16" t="n">
        <f aca="false">B11*Inputs!$C$5</f>
        <v>0.0405</v>
      </c>
      <c r="D11" s="17" t="n">
        <v>0</v>
      </c>
      <c r="E11" s="15" t="n">
        <v>0</v>
      </c>
      <c r="F11" s="15" t="n">
        <v>0</v>
      </c>
      <c r="G11" s="15" t="n">
        <v>0</v>
      </c>
      <c r="H11" s="15" t="n">
        <v>0</v>
      </c>
      <c r="I11" s="15" t="n">
        <v>0</v>
      </c>
      <c r="J11" s="15" t="n">
        <v>0</v>
      </c>
      <c r="K11" s="15" t="n">
        <v>0</v>
      </c>
      <c r="L11" s="15" t="n">
        <v>1</v>
      </c>
      <c r="M11" s="15" t="n">
        <v>1</v>
      </c>
      <c r="N11" s="15" t="n">
        <v>0.4</v>
      </c>
      <c r="O11" s="15" t="n">
        <v>0.1</v>
      </c>
      <c r="P11" s="15" t="n">
        <v>0.1</v>
      </c>
      <c r="Q11" s="15" t="n">
        <v>0.15</v>
      </c>
      <c r="R11" s="15" t="n">
        <v>1</v>
      </c>
    </row>
    <row r="12" customFormat="false" ht="15" hidden="false" customHeight="false" outlineLevel="0" collapsed="false">
      <c r="A12" s="8" t="s">
        <v>64</v>
      </c>
      <c r="B12" s="15" t="n">
        <v>0.5</v>
      </c>
      <c r="C12" s="16" t="n">
        <f aca="false">B12*Inputs!$C$5</f>
        <v>0.0675</v>
      </c>
      <c r="D12" s="17" t="n">
        <v>0</v>
      </c>
      <c r="E12" s="15" t="n">
        <v>0</v>
      </c>
      <c r="F12" s="15" t="n">
        <v>0</v>
      </c>
      <c r="G12" s="15" t="n">
        <v>0</v>
      </c>
      <c r="H12" s="15" t="n">
        <v>0</v>
      </c>
      <c r="I12" s="15" t="n">
        <v>0</v>
      </c>
      <c r="J12" s="15" t="n">
        <v>0</v>
      </c>
      <c r="K12" s="15" t="n">
        <v>0</v>
      </c>
      <c r="L12" s="15" t="n">
        <v>1</v>
      </c>
      <c r="M12" s="15" t="n">
        <v>1</v>
      </c>
      <c r="N12" s="15" t="n">
        <v>0.4</v>
      </c>
      <c r="O12" s="15" t="n">
        <v>0.1</v>
      </c>
      <c r="P12" s="15" t="n">
        <v>0.1</v>
      </c>
      <c r="Q12" s="15" t="n">
        <v>0.15</v>
      </c>
      <c r="R12" s="15" t="n">
        <v>1</v>
      </c>
    </row>
    <row r="13" customFormat="false" ht="15" hidden="false" customHeight="false" outlineLevel="0" collapsed="false">
      <c r="A13" s="8" t="s">
        <v>65</v>
      </c>
      <c r="B13" s="15" t="n">
        <v>0.7</v>
      </c>
      <c r="C13" s="16" t="n">
        <f aca="false">B13*Inputs!$C$5</f>
        <v>0.0945</v>
      </c>
      <c r="D13" s="17" t="n">
        <v>0</v>
      </c>
      <c r="E13" s="15" t="n">
        <v>0</v>
      </c>
      <c r="F13" s="15" t="n">
        <v>0</v>
      </c>
      <c r="G13" s="15" t="n">
        <v>0</v>
      </c>
      <c r="H13" s="15" t="n">
        <v>0</v>
      </c>
      <c r="I13" s="15" t="n">
        <v>0</v>
      </c>
      <c r="J13" s="15" t="n">
        <v>0</v>
      </c>
      <c r="K13" s="15" t="n">
        <v>0</v>
      </c>
      <c r="L13" s="15" t="n">
        <v>1</v>
      </c>
      <c r="M13" s="15" t="n">
        <v>1</v>
      </c>
      <c r="N13" s="15" t="n">
        <v>0.4</v>
      </c>
      <c r="O13" s="15" t="n">
        <v>0.1</v>
      </c>
      <c r="P13" s="15" t="n">
        <v>0.1</v>
      </c>
      <c r="Q13" s="15" t="n">
        <v>0.15</v>
      </c>
      <c r="R13" s="15" t="n">
        <v>1</v>
      </c>
    </row>
    <row r="14" customFormat="false" ht="15" hidden="false" customHeight="false" outlineLevel="0" collapsed="false">
      <c r="A14" s="8" t="s">
        <v>66</v>
      </c>
      <c r="B14" s="15" t="n">
        <v>0.9</v>
      </c>
      <c r="C14" s="16" t="n">
        <f aca="false">B14*Inputs!$C$5</f>
        <v>0.1215</v>
      </c>
      <c r="D14" s="17" t="n">
        <v>0</v>
      </c>
      <c r="E14" s="15" t="n">
        <v>0</v>
      </c>
      <c r="F14" s="15" t="n">
        <v>0</v>
      </c>
      <c r="G14" s="15" t="n">
        <v>0</v>
      </c>
      <c r="H14" s="15" t="n">
        <v>0</v>
      </c>
      <c r="I14" s="15" t="n">
        <v>0</v>
      </c>
      <c r="J14" s="15" t="n">
        <v>0</v>
      </c>
      <c r="K14" s="15" t="n">
        <v>0</v>
      </c>
      <c r="L14" s="15" t="n">
        <v>1</v>
      </c>
      <c r="M14" s="15" t="n">
        <v>1</v>
      </c>
      <c r="N14" s="15" t="n">
        <v>0.4</v>
      </c>
      <c r="O14" s="15" t="n">
        <v>0.1</v>
      </c>
      <c r="P14" s="15" t="n">
        <v>0.1</v>
      </c>
      <c r="Q14" s="15" t="n">
        <v>0.15</v>
      </c>
      <c r="R14" s="15" t="n">
        <v>1</v>
      </c>
    </row>
    <row r="16" customFormat="false" ht="15" hidden="false" customHeight="false" outlineLevel="0" collapsed="false">
      <c r="A16" s="6" t="s">
        <v>67</v>
      </c>
      <c r="B16" s="8" t="str">
        <f aca="false">IF(SUMPRODUCT(--(E5:K14&gt;L5:R14))=0,"PASS","CHECK")</f>
        <v>PASS</v>
      </c>
    </row>
  </sheetData>
  <mergeCells count="2">
    <mergeCell ref="E3:K3"/>
    <mergeCell ref="L3:R3"/>
  </mergeCells>
  <conditionalFormatting sqref="B16">
    <cfRule type="cellIs" priority="2" operator="equal" aboveAverage="0" equalAverage="0" bottom="0" percent="0" rank="0" text="" dxfId="0">
      <formula>"PASS"</formula>
    </cfRule>
    <cfRule type="cellIs" priority="3" operator="equal" aboveAverage="0" equalAverage="0" bottom="0" percent="0" rank="0" text="" dxfId="1">
      <formula>"CHECK"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5" min="2" style="0" width="12"/>
  </cols>
  <sheetData>
    <row r="1" customFormat="false" ht="17.35" hidden="false" customHeight="false" outlineLevel="0" collapsed="false">
      <c r="A1" s="5" t="s">
        <v>68</v>
      </c>
    </row>
    <row r="3" customFormat="false" ht="15" hidden="false" customHeight="false" outlineLevel="0" collapsed="false">
      <c r="A3" s="8" t="s">
        <v>34</v>
      </c>
      <c r="B3" s="18" t="n">
        <f aca="false">Inputs!B5</f>
        <v>0.06039</v>
      </c>
      <c r="C3" s="18" t="n">
        <f aca="false">Inputs!B6</f>
        <v>0.00723</v>
      </c>
      <c r="D3" s="18" t="n">
        <f aca="false">Inputs!B7</f>
        <v>0.03307</v>
      </c>
      <c r="E3" s="18" t="n">
        <f aca="false">Inputs!B8</f>
        <v>0.04507</v>
      </c>
      <c r="F3" s="18" t="n">
        <f aca="false">Inputs!B9</f>
        <v>0.03798</v>
      </c>
      <c r="G3" s="18" t="n">
        <f aca="false">Inputs!B10</f>
        <v>0.01689</v>
      </c>
      <c r="H3" s="18" t="n">
        <f aca="false">Inputs!B11</f>
        <v>0.0005</v>
      </c>
    </row>
    <row r="4" customFormat="false" ht="15" hidden="false" customHeight="false" outlineLevel="0" collapsed="false">
      <c r="A4" s="8" t="s">
        <v>36</v>
      </c>
      <c r="B4" s="18" t="n">
        <f aca="false">Inputs!D5</f>
        <v>0.0204</v>
      </c>
      <c r="C4" s="18" t="n">
        <f aca="false">Inputs!D6</f>
        <v>0.00607</v>
      </c>
      <c r="D4" s="18" t="n">
        <f aca="false">Inputs!D7</f>
        <v>0.03816</v>
      </c>
      <c r="E4" s="18" t="n">
        <f aca="false">Inputs!D8</f>
        <v>0.02597</v>
      </c>
      <c r="F4" s="18" t="n">
        <f aca="false">Inputs!D9</f>
        <v>0</v>
      </c>
      <c r="G4" s="18" t="n">
        <f aca="false">Inputs!D10</f>
        <v>0</v>
      </c>
      <c r="H4" s="18" t="n">
        <f aca="false">Inputs!D11</f>
        <v>0.0005</v>
      </c>
    </row>
    <row r="6" customFormat="false" ht="42" hidden="false" customHeight="true" outlineLevel="0" collapsed="false">
      <c r="A6" s="7" t="s">
        <v>53</v>
      </c>
      <c r="B6" s="7" t="s">
        <v>37</v>
      </c>
      <c r="C6" s="7" t="s">
        <v>45</v>
      </c>
      <c r="D6" s="7" t="s">
        <v>46</v>
      </c>
      <c r="E6" s="7" t="s">
        <v>40</v>
      </c>
      <c r="F6" s="7" t="s">
        <v>41</v>
      </c>
      <c r="G6" s="7" t="s">
        <v>42</v>
      </c>
      <c r="H6" s="7" t="s">
        <v>43</v>
      </c>
      <c r="I6" s="7" t="s">
        <v>69</v>
      </c>
      <c r="J6" s="7" t="s">
        <v>34</v>
      </c>
      <c r="K6" s="7" t="s">
        <v>70</v>
      </c>
      <c r="L6" s="7" t="s">
        <v>35</v>
      </c>
      <c r="M6" s="7" t="s">
        <v>55</v>
      </c>
      <c r="N6" s="7" t="s">
        <v>71</v>
      </c>
      <c r="O6" s="7" t="s">
        <v>36</v>
      </c>
      <c r="P6" s="7" t="s">
        <v>56</v>
      </c>
      <c r="Q6" s="7" t="s">
        <v>72</v>
      </c>
      <c r="S6" s="7" t="s">
        <v>73</v>
      </c>
      <c r="T6" s="7" t="s">
        <v>74</v>
      </c>
      <c r="U6" s="7" t="s">
        <v>75</v>
      </c>
      <c r="V6" s="7" t="s">
        <v>76</v>
      </c>
      <c r="W6" s="7" t="s">
        <v>77</v>
      </c>
      <c r="X6" s="7" t="s">
        <v>78</v>
      </c>
      <c r="Y6" s="7" t="s">
        <v>79</v>
      </c>
    </row>
    <row r="7" customFormat="false" ht="15" hidden="false" customHeight="false" outlineLevel="0" collapsed="false">
      <c r="A7" s="19" t="str">
        <f aca="false">Strategies!A5</f>
        <v>Defensive</v>
      </c>
      <c r="B7" s="17" t="n">
        <v>0.092092</v>
      </c>
      <c r="C7" s="17" t="n">
        <v>0.091628</v>
      </c>
      <c r="D7" s="17" t="n">
        <v>0.268345</v>
      </c>
      <c r="E7" s="17" t="n">
        <v>0.084495</v>
      </c>
      <c r="F7" s="17" t="n">
        <v>0.043354</v>
      </c>
      <c r="G7" s="17" t="n">
        <v>0.15</v>
      </c>
      <c r="H7" s="17" t="n">
        <v>0.270087</v>
      </c>
      <c r="I7" s="16" t="n">
        <f aca="false">SUM(B7:H7)</f>
        <v>1.000001</v>
      </c>
      <c r="J7" s="20" t="n">
        <f aca="false">SUMPRODUCT(B7:H7,$B$3:$H$3)</f>
        <v>0.02322139354</v>
      </c>
      <c r="K7" s="13" t="n">
        <f aca="false">SUMPRODUCT(B7:H7,S7:Y7)</f>
        <v>0.00164025337216356</v>
      </c>
      <c r="L7" s="20" t="n">
        <f aca="false">SQRT(MAX(K7,0))</f>
        <v>0.0405000416316275</v>
      </c>
      <c r="M7" s="18" t="n">
        <f aca="false">Strategies!C5</f>
        <v>0.0405</v>
      </c>
      <c r="N7" s="13" t="n">
        <f aca="false">M7^2</f>
        <v>0.00164025</v>
      </c>
      <c r="O7" s="20" t="n">
        <f aca="false">SUMPRODUCT(B7:H7,$B$4:$H$4)</f>
        <v>0.01500428261</v>
      </c>
      <c r="P7" s="18" t="n">
        <f aca="false">Strategies!D5</f>
        <v>0</v>
      </c>
      <c r="Q7" s="8" t="str">
        <f aca="false">IF(AND(ABS(I7-1)&lt;0.00001,L7&lt;=M7+0.000001,O7&gt;=P7-0.000001,SUMPRODUCT((B7:H7&lt;B22:H22-0.000001)+(B7:H7&gt;B35:H35+0.000001))=0),"OK","CHECK")</f>
        <v>OK</v>
      </c>
      <c r="S7" s="21" t="n">
        <f aca="false">MMULT($B7:$H7,Inputs!B$26:B$32)</f>
        <v>0.0044845988094</v>
      </c>
      <c r="T7" s="21" t="n">
        <f aca="false">MMULT($B7:$H7,Inputs!C$26:C$32)</f>
        <v>0.00049003277484</v>
      </c>
      <c r="U7" s="21" t="n">
        <f aca="false">MMULT($B7:$H7,Inputs!D$26:D$32)</f>
        <v>0.0024317105462</v>
      </c>
      <c r="V7" s="21" t="n">
        <f aca="false">MMULT($B7:$H7,Inputs!E$26:E$32)</f>
        <v>0.00333341954524</v>
      </c>
      <c r="W7" s="21" t="n">
        <f aca="false">MMULT($B7:$H7,Inputs!F$26:F$32)</f>
        <v>0.00280064926058</v>
      </c>
      <c r="X7" s="21" t="n">
        <f aca="false">MMULT($B7:$H7,Inputs!G$26:G$32)</f>
        <v>0.00087317822052</v>
      </c>
      <c r="Y7" s="21" t="n">
        <f aca="false">MMULT($B7:$H7,Inputs!H$26:H$32)</f>
        <v>-1.5675529E-005</v>
      </c>
    </row>
    <row r="8" customFormat="false" ht="15" hidden="false" customHeight="false" outlineLevel="0" collapsed="false">
      <c r="A8" s="19" t="str">
        <f aca="false">Strategies!A6</f>
        <v>Cautious</v>
      </c>
      <c r="B8" s="17" t="n">
        <v>0.220821</v>
      </c>
      <c r="C8" s="17" t="n">
        <v>0.033302</v>
      </c>
      <c r="D8" s="17" t="n">
        <v>0.4</v>
      </c>
      <c r="E8" s="17" t="n">
        <v>0.1</v>
      </c>
      <c r="F8" s="17" t="n">
        <v>0.095876</v>
      </c>
      <c r="G8" s="17" t="n">
        <v>0.15</v>
      </c>
      <c r="H8" s="17" t="n">
        <v>0</v>
      </c>
      <c r="I8" s="16" t="n">
        <f aca="false">SUM(B8:H8)</f>
        <v>0.999999</v>
      </c>
      <c r="J8" s="20" t="n">
        <f aca="false">SUMPRODUCT(B8:H8,$B$3:$H$3)</f>
        <v>0.03748602413</v>
      </c>
      <c r="K8" s="13" t="n">
        <f aca="false">SUMPRODUCT(B8:H8,S8:Y8)</f>
        <v>0.00455624120103559</v>
      </c>
      <c r="L8" s="20" t="n">
        <f aca="false">SQRT(MAX(K8,0))</f>
        <v>0.0674999348224544</v>
      </c>
      <c r="M8" s="18" t="n">
        <f aca="false">Strategies!C6</f>
        <v>0.0675</v>
      </c>
      <c r="N8" s="13" t="n">
        <f aca="false">M8^2</f>
        <v>0.00455625</v>
      </c>
      <c r="O8" s="20" t="n">
        <f aca="false">SUMPRODUCT(B8:H8,$B$4:$H$4)</f>
        <v>0.02256789154</v>
      </c>
      <c r="P8" s="18" t="n">
        <f aca="false">Strategies!D6</f>
        <v>0</v>
      </c>
      <c r="Q8" s="8" t="str">
        <f aca="false">IF(AND(ABS(I8-1)&lt;0.00001,L8&lt;=M8+0.000001,O8&gt;=P8-0.000001,SUMPRODUCT((B8:H8&lt;B23:H23-0.000001)+(B8:H8&gt;B36:H36+0.000001))=0),"OK","CHECK")</f>
        <v>OK</v>
      </c>
      <c r="S8" s="21" t="n">
        <f aca="false">MMULT($B8:$H8,Inputs!B$26:B$32)</f>
        <v>0.0078382145016</v>
      </c>
      <c r="T8" s="21" t="n">
        <f aca="false">MMULT($B8:$H8,Inputs!C$26:C$32)</f>
        <v>0.00059958011106</v>
      </c>
      <c r="U8" s="21" t="n">
        <f aca="false">MMULT($B8:$H8,Inputs!D$26:D$32)</f>
        <v>0.0039987041588</v>
      </c>
      <c r="V8" s="21" t="n">
        <f aca="false">MMULT($B8:$H8,Inputs!E$26:E$32)</f>
        <v>0.00528366302836</v>
      </c>
      <c r="W8" s="21" t="n">
        <f aca="false">MMULT($B8:$H8,Inputs!F$26:F$32)</f>
        <v>0.00478670227952</v>
      </c>
      <c r="X8" s="21" t="n">
        <f aca="false">MMULT($B8:$H8,Inputs!G$26:G$32)</f>
        <v>0.00145769190408</v>
      </c>
      <c r="Y8" s="21" t="n">
        <f aca="false">MMULT($B8:$H8,Inputs!H$26:H$32)</f>
        <v>-3.812256E-005</v>
      </c>
    </row>
    <row r="9" customFormat="false" ht="15" hidden="false" customHeight="false" outlineLevel="0" collapsed="false">
      <c r="A9" s="19" t="str">
        <f aca="false">Strategies!A7</f>
        <v>Balanced</v>
      </c>
      <c r="B9" s="17" t="n">
        <v>0.51933</v>
      </c>
      <c r="C9" s="17" t="n">
        <v>0</v>
      </c>
      <c r="D9" s="17" t="n">
        <v>0.28067</v>
      </c>
      <c r="E9" s="17" t="n">
        <v>0.1</v>
      </c>
      <c r="F9" s="17" t="n">
        <v>0.1</v>
      </c>
      <c r="G9" s="17" t="n">
        <v>0</v>
      </c>
      <c r="H9" s="17" t="n">
        <v>0</v>
      </c>
      <c r="I9" s="16" t="n">
        <f aca="false">SUM(B9:H9)</f>
        <v>1</v>
      </c>
      <c r="J9" s="20" t="n">
        <f aca="false">SUMPRODUCT(B9:H9,$B$3:$H$3)</f>
        <v>0.0489490956</v>
      </c>
      <c r="K9" s="13" t="n">
        <f aca="false">SUMPRODUCT(B9:H9,S9:Y9)</f>
        <v>0.0089302509357046</v>
      </c>
      <c r="L9" s="20" t="n">
        <f aca="false">SQRT(MAX(K9,0))</f>
        <v>0.0945000049508179</v>
      </c>
      <c r="M9" s="18" t="n">
        <f aca="false">Strategies!C7</f>
        <v>0.0945</v>
      </c>
      <c r="N9" s="13" t="n">
        <f aca="false">M9^2</f>
        <v>0.00893025</v>
      </c>
      <c r="O9" s="20" t="n">
        <f aca="false">SUMPRODUCT(B9:H9,$B$4:$H$4)</f>
        <v>0.0239016992</v>
      </c>
      <c r="P9" s="18" t="n">
        <f aca="false">Strategies!D7</f>
        <v>0</v>
      </c>
      <c r="Q9" s="8" t="str">
        <f aca="false">IF(AND(ABS(I9-1)&lt;0.00001,L9&lt;=M9+0.000001,O9&gt;=P9-0.000001,SUMPRODUCT((B9:H9&lt;B24:H24-0.000001)+(B9:H9&gt;B37:H37+0.000001))=0),"OK","CHECK")</f>
        <v>OK</v>
      </c>
      <c r="S9" s="21" t="n">
        <f aca="false">MMULT($B9:$H9,Inputs!B$26:B$32)</f>
        <v>0.01216200231</v>
      </c>
      <c r="T9" s="21" t="n">
        <f aca="false">MMULT($B9:$H9,Inputs!C$26:C$32)</f>
        <v>0.000472750719</v>
      </c>
      <c r="U9" s="21" t="n">
        <f aca="false">MMULT($B9:$H9,Inputs!D$26:D$32)</f>
        <v>0.00520210769</v>
      </c>
      <c r="V9" s="21" t="n">
        <f aca="false">MMULT($B9:$H9,Inputs!E$26:E$32)</f>
        <v>0.007348103056</v>
      </c>
      <c r="W9" s="21" t="n">
        <f aca="false">MMULT($B9:$H9,Inputs!F$26:F$32)</f>
        <v>0.004192724051</v>
      </c>
      <c r="X9" s="21" t="n">
        <f aca="false">MMULT($B9:$H9,Inputs!G$26:G$32)</f>
        <v>0.001873124766</v>
      </c>
      <c r="Y9" s="21" t="n">
        <f aca="false">MMULT($B9:$H9,Inputs!H$26:H$32)</f>
        <v>-6.670506E-005</v>
      </c>
    </row>
    <row r="10" customFormat="false" ht="15" hidden="false" customHeight="false" outlineLevel="0" collapsed="false">
      <c r="A10" s="19" t="str">
        <f aca="false">Strategies!A8</f>
        <v>Growth</v>
      </c>
      <c r="B10" s="17" t="n">
        <v>0.879874</v>
      </c>
      <c r="C10" s="17" t="n">
        <v>0</v>
      </c>
      <c r="D10" s="17" t="n">
        <v>0</v>
      </c>
      <c r="E10" s="17" t="n">
        <v>0.020126</v>
      </c>
      <c r="F10" s="17" t="n">
        <v>0.1</v>
      </c>
      <c r="G10" s="17" t="n">
        <v>0</v>
      </c>
      <c r="H10" s="17" t="n">
        <v>0</v>
      </c>
      <c r="I10" s="16" t="n">
        <f aca="false">SUM(B10:H10)</f>
        <v>1</v>
      </c>
      <c r="J10" s="20" t="n">
        <f aca="false">SUMPRODUCT(B10:H10,$B$3:$H$3)</f>
        <v>0.05784066968</v>
      </c>
      <c r="K10" s="13" t="n">
        <f aca="false">SUMPRODUCT(B10:H10,S10:Y10)</f>
        <v>0.0147622425877901</v>
      </c>
      <c r="L10" s="20" t="n">
        <f aca="false">SQRT(MAX(K10,0))</f>
        <v>0.121499969497075</v>
      </c>
      <c r="M10" s="18" t="n">
        <f aca="false">Strategies!C8</f>
        <v>0.1215</v>
      </c>
      <c r="N10" s="13" t="n">
        <f aca="false">M10^2</f>
        <v>0.01476225</v>
      </c>
      <c r="O10" s="20" t="n">
        <f aca="false">SUMPRODUCT(B10:H10,$B$4:$H$4)</f>
        <v>0.01847210182</v>
      </c>
      <c r="P10" s="18" t="n">
        <f aca="false">Strategies!D8</f>
        <v>0</v>
      </c>
      <c r="Q10" s="8" t="str">
        <f aca="false">IF(AND(ABS(I10-1)&lt;0.00001,L10&lt;=M10+0.000001,O10&gt;=P10-0.000001,SUMPRODUCT((B10:H10&lt;B25:H25-0.000001)+(B10:H10&gt;B38:H38+0.000001))=0),"OK","CHECK")</f>
        <v>OK</v>
      </c>
      <c r="S10" s="21" t="n">
        <f aca="false">MMULT($B10:$H10,Inputs!B$26:B$32)</f>
        <v>0.0162216558144</v>
      </c>
      <c r="T10" s="21" t="n">
        <f aca="false">MMULT($B10:$H10,Inputs!C$26:C$32)</f>
        <v>0.00016017576372</v>
      </c>
      <c r="U10" s="21" t="n">
        <f aca="false">MMULT($B10:$H10,Inputs!D$26:D$32)</f>
        <v>0.0059750014532</v>
      </c>
      <c r="V10" s="21" t="n">
        <f aca="false">MMULT($B10:$H10,Inputs!E$26:E$32)</f>
        <v>0.0084829152916</v>
      </c>
      <c r="W10" s="21" t="n">
        <f aca="false">MMULT($B10:$H10,Inputs!F$26:F$32)</f>
        <v>0.00318502246592</v>
      </c>
      <c r="X10" s="21" t="n">
        <f aca="false">MMULT($B10:$H10,Inputs!G$26:G$32)</f>
        <v>0.00233716413456</v>
      </c>
      <c r="Y10" s="21" t="n">
        <f aca="false">MMULT($B10:$H10,Inputs!H$26:H$32)</f>
        <v>-9.00075464E-005</v>
      </c>
    </row>
    <row r="11" customFormat="false" ht="15" hidden="false" customHeight="false" outlineLevel="0" collapsed="false">
      <c r="A11" s="19" t="str">
        <f aca="false">Strategies!A9</f>
        <v>Income</v>
      </c>
      <c r="B11" s="17" t="n">
        <v>0.251061</v>
      </c>
      <c r="C11" s="17" t="n">
        <v>0.167605</v>
      </c>
      <c r="D11" s="17" t="n">
        <v>0.4</v>
      </c>
      <c r="E11" s="17" t="n">
        <v>0.1</v>
      </c>
      <c r="F11" s="17" t="n">
        <v>0.057055</v>
      </c>
      <c r="G11" s="17" t="n">
        <v>0.02428</v>
      </c>
      <c r="H11" s="17" t="n">
        <v>0</v>
      </c>
      <c r="I11" s="16" t="n">
        <f aca="false">SUM(B11:H11)</f>
        <v>1.000001</v>
      </c>
      <c r="J11" s="20" t="n">
        <f aca="false">SUMPRODUCT(B11:H11,$B$3:$H$3)</f>
        <v>0.03668539604</v>
      </c>
      <c r="K11" s="13" t="n">
        <f aca="false">SUMPRODUCT(B11:H11,S11:Y11)</f>
        <v>0.0045562563225314</v>
      </c>
      <c r="L11" s="20" t="n">
        <f aca="false">SQRT(MAX(K11,0))</f>
        <v>0.0675000468335497</v>
      </c>
      <c r="M11" s="18" t="n">
        <f aca="false">Strategies!C9</f>
        <v>0.0675</v>
      </c>
      <c r="N11" s="13" t="n">
        <f aca="false">M11^2</f>
        <v>0.00455625</v>
      </c>
      <c r="O11" s="20" t="n">
        <f aca="false">SUMPRODUCT(B11:H11,$B$4:$H$4)</f>
        <v>0.02400000675</v>
      </c>
      <c r="P11" s="18" t="n">
        <f aca="false">Strategies!D9</f>
        <v>0.024</v>
      </c>
      <c r="Q11" s="8" t="str">
        <f aca="false">IF(AND(ABS(I11-1)&lt;0.00001,L11&lt;=M11+0.000001,O11&gt;=P11-0.000001,SUMPRODUCT((B11:H11&lt;B26:H26-0.000001)+(B11:H11&gt;B39:H39+0.000001))=0),"OK","CHECK")</f>
        <v>OK</v>
      </c>
      <c r="S11" s="21" t="n">
        <f aca="false">MMULT($B11:$H11,Inputs!B$26:B$32)</f>
        <v>0.0080762239215</v>
      </c>
      <c r="T11" s="21" t="n">
        <f aca="false">MMULT($B11:$H11,Inputs!C$26:C$32)</f>
        <v>0.0007916323569</v>
      </c>
      <c r="U11" s="21" t="n">
        <f aca="false">MMULT($B11:$H11,Inputs!D$26:D$32)</f>
        <v>0.0040312316785</v>
      </c>
      <c r="V11" s="21" t="n">
        <f aca="false">MMULT($B11:$H11,Inputs!E$26:E$32)</f>
        <v>0.0054729392354</v>
      </c>
      <c r="W11" s="21" t="n">
        <f aca="false">MMULT($B11:$H11,Inputs!F$26:F$32)</f>
        <v>0.0036002347996</v>
      </c>
      <c r="X11" s="21" t="n">
        <f aca="false">MMULT($B11:$H11,Inputs!G$26:G$32)</f>
        <v>0.0012665541996</v>
      </c>
      <c r="Y11" s="21" t="n">
        <f aca="false">MMULT($B11:$H11,Inputs!H$26:H$32)</f>
        <v>-4.2571798E-005</v>
      </c>
    </row>
    <row r="12" customFormat="false" ht="15" hidden="false" customHeight="false" outlineLevel="0" collapsed="false">
      <c r="A12" s="19" t="str">
        <f aca="false">Strategies!A10</f>
        <v>Income Plus</v>
      </c>
      <c r="B12" s="17" t="n">
        <v>0.507396</v>
      </c>
      <c r="C12" s="17" t="n">
        <v>0</v>
      </c>
      <c r="D12" s="17" t="n">
        <v>0.342037</v>
      </c>
      <c r="E12" s="17" t="n">
        <v>0.1</v>
      </c>
      <c r="F12" s="17" t="n">
        <v>0.050567</v>
      </c>
      <c r="G12" s="17" t="n">
        <v>0</v>
      </c>
      <c r="H12" s="17" t="n">
        <v>0</v>
      </c>
      <c r="I12" s="16" t="n">
        <f aca="false">SUM(B12:H12)</f>
        <v>1</v>
      </c>
      <c r="J12" s="20" t="n">
        <f aca="false">SUMPRODUCT(B12:H12,$B$3:$H$3)</f>
        <v>0.04838034269</v>
      </c>
      <c r="K12" s="13" t="n">
        <f aca="false">SUMPRODUCT(B12:H12,S12:Y12)</f>
        <v>0.00893024517629985</v>
      </c>
      <c r="L12" s="20" t="n">
        <f aca="false">SQRT(MAX(K12,0))</f>
        <v>0.0944999744777735</v>
      </c>
      <c r="M12" s="18" t="n">
        <f aca="false">Strategies!C10</f>
        <v>0.0945</v>
      </c>
      <c r="N12" s="13" t="n">
        <f aca="false">M12^2</f>
        <v>0.00893025</v>
      </c>
      <c r="O12" s="20" t="n">
        <f aca="false">SUMPRODUCT(B12:H12,$B$4:$H$4)</f>
        <v>0.02600001032</v>
      </c>
      <c r="P12" s="18" t="n">
        <f aca="false">Strategies!D10</f>
        <v>0.026</v>
      </c>
      <c r="Q12" s="8" t="str">
        <f aca="false">IF(AND(ABS(I12-1)&lt;0.00001,L12&lt;=M12+0.000001,O12&gt;=P12-0.000001,SUMPRODUCT((B12:H12&lt;B27:H27-0.000001)+(B12:H12&gt;B40:H40+0.000001))=0),"OK","CHECK")</f>
        <v>OK</v>
      </c>
      <c r="S12" s="21" t="n">
        <f aca="false">MMULT($B12:$H12,Inputs!B$26:B$32)</f>
        <v>0.012332221866</v>
      </c>
      <c r="T12" s="21" t="n">
        <f aca="false">MMULT($B12:$H12,Inputs!C$26:C$32)</f>
        <v>0.00042760106172</v>
      </c>
      <c r="U12" s="21" t="n">
        <f aca="false">MMULT($B12:$H12,Inputs!D$26:D$32)</f>
        <v>0.0052201217081</v>
      </c>
      <c r="V12" s="21" t="n">
        <f aca="false">MMULT($B12:$H12,Inputs!E$26:E$32)</f>
        <v>0.00744224715844</v>
      </c>
      <c r="W12" s="21" t="n">
        <f aca="false">MMULT($B12:$H12,Inputs!F$26:F$32)</f>
        <v>0.0028323935741</v>
      </c>
      <c r="X12" s="21" t="n">
        <f aca="false">MMULT($B12:$H12,Inputs!G$26:G$32)</f>
        <v>0.00182608957332</v>
      </c>
      <c r="Y12" s="21" t="n">
        <f aca="false">MMULT($B12:$H12,Inputs!H$26:H$32)</f>
        <v>-7.05313596E-005</v>
      </c>
    </row>
    <row r="13" customFormat="false" ht="15" hidden="false" customHeight="false" outlineLevel="0" collapsed="false">
      <c r="A13" s="19" t="str">
        <f aca="false">Strategies!A11</f>
        <v>Defensive Responsible</v>
      </c>
      <c r="B13" s="17" t="n">
        <v>0.092092</v>
      </c>
      <c r="C13" s="17" t="n">
        <v>0.091628</v>
      </c>
      <c r="D13" s="17" t="n">
        <v>0.268345</v>
      </c>
      <c r="E13" s="17" t="n">
        <v>0.084495</v>
      </c>
      <c r="F13" s="17" t="n">
        <v>0.043354</v>
      </c>
      <c r="G13" s="17" t="n">
        <v>0.15</v>
      </c>
      <c r="H13" s="17" t="n">
        <v>0.270087</v>
      </c>
      <c r="I13" s="16" t="n">
        <f aca="false">SUM(B13:H13)</f>
        <v>1.000001</v>
      </c>
      <c r="J13" s="20" t="n">
        <f aca="false">SUMPRODUCT(B13:H13,$B$3:$H$3)</f>
        <v>0.02322139354</v>
      </c>
      <c r="K13" s="13" t="n">
        <f aca="false">SUMPRODUCT(B13:H13,S13:Y13)</f>
        <v>0.00164025337216356</v>
      </c>
      <c r="L13" s="20" t="n">
        <f aca="false">SQRT(MAX(K13,0))</f>
        <v>0.0405000416316275</v>
      </c>
      <c r="M13" s="18" t="n">
        <f aca="false">Strategies!C11</f>
        <v>0.0405</v>
      </c>
      <c r="N13" s="13" t="n">
        <f aca="false">M13^2</f>
        <v>0.00164025</v>
      </c>
      <c r="O13" s="20" t="n">
        <f aca="false">SUMPRODUCT(B13:H13,$B$4:$H$4)</f>
        <v>0.01500428261</v>
      </c>
      <c r="P13" s="18" t="n">
        <f aca="false">Strategies!D11</f>
        <v>0</v>
      </c>
      <c r="Q13" s="8" t="str">
        <f aca="false">IF(AND(ABS(I13-1)&lt;0.00001,L13&lt;=M13+0.000001,O13&gt;=P13-0.000001,SUMPRODUCT((B13:H13&lt;B28:H28-0.000001)+(B13:H13&gt;B41:H41+0.000001))=0),"OK","CHECK")</f>
        <v>OK</v>
      </c>
      <c r="S13" s="21" t="n">
        <f aca="false">MMULT($B13:$H13,Inputs!B$26:B$32)</f>
        <v>0.0044845988094</v>
      </c>
      <c r="T13" s="21" t="n">
        <f aca="false">MMULT($B13:$H13,Inputs!C$26:C$32)</f>
        <v>0.00049003277484</v>
      </c>
      <c r="U13" s="21" t="n">
        <f aca="false">MMULT($B13:$H13,Inputs!D$26:D$32)</f>
        <v>0.0024317105462</v>
      </c>
      <c r="V13" s="21" t="n">
        <f aca="false">MMULT($B13:$H13,Inputs!E$26:E$32)</f>
        <v>0.00333341954524</v>
      </c>
      <c r="W13" s="21" t="n">
        <f aca="false">MMULT($B13:$H13,Inputs!F$26:F$32)</f>
        <v>0.00280064926058</v>
      </c>
      <c r="X13" s="21" t="n">
        <f aca="false">MMULT($B13:$H13,Inputs!G$26:G$32)</f>
        <v>0.00087317822052</v>
      </c>
      <c r="Y13" s="21" t="n">
        <f aca="false">MMULT($B13:$H13,Inputs!H$26:H$32)</f>
        <v>-1.5675529E-005</v>
      </c>
    </row>
    <row r="14" customFormat="false" ht="15" hidden="false" customHeight="false" outlineLevel="0" collapsed="false">
      <c r="A14" s="19" t="str">
        <f aca="false">Strategies!A12</f>
        <v>Cautious Responsible</v>
      </c>
      <c r="B14" s="17" t="n">
        <v>0.220821</v>
      </c>
      <c r="C14" s="17" t="n">
        <v>0.033302</v>
      </c>
      <c r="D14" s="17" t="n">
        <v>0.4</v>
      </c>
      <c r="E14" s="17" t="n">
        <v>0.1</v>
      </c>
      <c r="F14" s="17" t="n">
        <v>0.095876</v>
      </c>
      <c r="G14" s="17" t="n">
        <v>0.15</v>
      </c>
      <c r="H14" s="17" t="n">
        <v>0</v>
      </c>
      <c r="I14" s="16" t="n">
        <f aca="false">SUM(B14:H14)</f>
        <v>0.999999</v>
      </c>
      <c r="J14" s="20" t="n">
        <f aca="false">SUMPRODUCT(B14:H14,$B$3:$H$3)</f>
        <v>0.03748602413</v>
      </c>
      <c r="K14" s="13" t="n">
        <f aca="false">SUMPRODUCT(B14:H14,S14:Y14)</f>
        <v>0.00455624120103559</v>
      </c>
      <c r="L14" s="20" t="n">
        <f aca="false">SQRT(MAX(K14,0))</f>
        <v>0.0674999348224544</v>
      </c>
      <c r="M14" s="18" t="n">
        <f aca="false">Strategies!C12</f>
        <v>0.0675</v>
      </c>
      <c r="N14" s="13" t="n">
        <f aca="false">M14^2</f>
        <v>0.00455625</v>
      </c>
      <c r="O14" s="20" t="n">
        <f aca="false">SUMPRODUCT(B14:H14,$B$4:$H$4)</f>
        <v>0.02256789154</v>
      </c>
      <c r="P14" s="18" t="n">
        <f aca="false">Strategies!D12</f>
        <v>0</v>
      </c>
      <c r="Q14" s="8" t="str">
        <f aca="false">IF(AND(ABS(I14-1)&lt;0.00001,L14&lt;=M14+0.000001,O14&gt;=P14-0.000001,SUMPRODUCT((B14:H14&lt;B29:H29-0.000001)+(B14:H14&gt;B42:H42+0.000001))=0),"OK","CHECK")</f>
        <v>OK</v>
      </c>
      <c r="S14" s="21" t="n">
        <f aca="false">MMULT($B14:$H14,Inputs!B$26:B$32)</f>
        <v>0.0078382145016</v>
      </c>
      <c r="T14" s="21" t="n">
        <f aca="false">MMULT($B14:$H14,Inputs!C$26:C$32)</f>
        <v>0.00059958011106</v>
      </c>
      <c r="U14" s="21" t="n">
        <f aca="false">MMULT($B14:$H14,Inputs!D$26:D$32)</f>
        <v>0.0039987041588</v>
      </c>
      <c r="V14" s="21" t="n">
        <f aca="false">MMULT($B14:$H14,Inputs!E$26:E$32)</f>
        <v>0.00528366302836</v>
      </c>
      <c r="W14" s="21" t="n">
        <f aca="false">MMULT($B14:$H14,Inputs!F$26:F$32)</f>
        <v>0.00478670227952</v>
      </c>
      <c r="X14" s="21" t="n">
        <f aca="false">MMULT($B14:$H14,Inputs!G$26:G$32)</f>
        <v>0.00145769190408</v>
      </c>
      <c r="Y14" s="21" t="n">
        <f aca="false">MMULT($B14:$H14,Inputs!H$26:H$32)</f>
        <v>-3.812256E-005</v>
      </c>
    </row>
    <row r="15" customFormat="false" ht="15" hidden="false" customHeight="false" outlineLevel="0" collapsed="false">
      <c r="A15" s="19" t="str">
        <f aca="false">Strategies!A13</f>
        <v>Balanced Responsible</v>
      </c>
      <c r="B15" s="17" t="n">
        <v>0.51933</v>
      </c>
      <c r="C15" s="17" t="n">
        <v>0</v>
      </c>
      <c r="D15" s="17" t="n">
        <v>0.28067</v>
      </c>
      <c r="E15" s="17" t="n">
        <v>0.1</v>
      </c>
      <c r="F15" s="17" t="n">
        <v>0.1</v>
      </c>
      <c r="G15" s="17" t="n">
        <v>0</v>
      </c>
      <c r="H15" s="17" t="n">
        <v>0</v>
      </c>
      <c r="I15" s="16" t="n">
        <f aca="false">SUM(B15:H15)</f>
        <v>1</v>
      </c>
      <c r="J15" s="20" t="n">
        <f aca="false">SUMPRODUCT(B15:H15,$B$3:$H$3)</f>
        <v>0.0489490956</v>
      </c>
      <c r="K15" s="13" t="n">
        <f aca="false">SUMPRODUCT(B15:H15,S15:Y15)</f>
        <v>0.0089302509357046</v>
      </c>
      <c r="L15" s="20" t="n">
        <f aca="false">SQRT(MAX(K15,0))</f>
        <v>0.0945000049508179</v>
      </c>
      <c r="M15" s="18" t="n">
        <f aca="false">Strategies!C13</f>
        <v>0.0945</v>
      </c>
      <c r="N15" s="13" t="n">
        <f aca="false">M15^2</f>
        <v>0.00893025</v>
      </c>
      <c r="O15" s="20" t="n">
        <f aca="false">SUMPRODUCT(B15:H15,$B$4:$H$4)</f>
        <v>0.0239016992</v>
      </c>
      <c r="P15" s="18" t="n">
        <f aca="false">Strategies!D13</f>
        <v>0</v>
      </c>
      <c r="Q15" s="8" t="str">
        <f aca="false">IF(AND(ABS(I15-1)&lt;0.00001,L15&lt;=M15+0.000001,O15&gt;=P15-0.000001,SUMPRODUCT((B15:H15&lt;B30:H30-0.000001)+(B15:H15&gt;B43:H43+0.000001))=0),"OK","CHECK")</f>
        <v>OK</v>
      </c>
      <c r="S15" s="21" t="n">
        <f aca="false">MMULT($B15:$H15,Inputs!B$26:B$32)</f>
        <v>0.01216200231</v>
      </c>
      <c r="T15" s="21" t="n">
        <f aca="false">MMULT($B15:$H15,Inputs!C$26:C$32)</f>
        <v>0.000472750719</v>
      </c>
      <c r="U15" s="21" t="n">
        <f aca="false">MMULT($B15:$H15,Inputs!D$26:D$32)</f>
        <v>0.00520210769</v>
      </c>
      <c r="V15" s="21" t="n">
        <f aca="false">MMULT($B15:$H15,Inputs!E$26:E$32)</f>
        <v>0.007348103056</v>
      </c>
      <c r="W15" s="21" t="n">
        <f aca="false">MMULT($B15:$H15,Inputs!F$26:F$32)</f>
        <v>0.004192724051</v>
      </c>
      <c r="X15" s="21" t="n">
        <f aca="false">MMULT($B15:$H15,Inputs!G$26:G$32)</f>
        <v>0.001873124766</v>
      </c>
      <c r="Y15" s="21" t="n">
        <f aca="false">MMULT($B15:$H15,Inputs!H$26:H$32)</f>
        <v>-6.670506E-005</v>
      </c>
    </row>
    <row r="16" customFormat="false" ht="15" hidden="false" customHeight="false" outlineLevel="0" collapsed="false">
      <c r="A16" s="19" t="str">
        <f aca="false">Strategies!A14</f>
        <v>Growth Responsible</v>
      </c>
      <c r="B16" s="17" t="n">
        <v>0.879874</v>
      </c>
      <c r="C16" s="17" t="n">
        <v>0</v>
      </c>
      <c r="D16" s="17" t="n">
        <v>0</v>
      </c>
      <c r="E16" s="17" t="n">
        <v>0.020126</v>
      </c>
      <c r="F16" s="17" t="n">
        <v>0.1</v>
      </c>
      <c r="G16" s="17" t="n">
        <v>0</v>
      </c>
      <c r="H16" s="17" t="n">
        <v>0</v>
      </c>
      <c r="I16" s="16" t="n">
        <f aca="false">SUM(B16:H16)</f>
        <v>1</v>
      </c>
      <c r="J16" s="20" t="n">
        <f aca="false">SUMPRODUCT(B16:H16,$B$3:$H$3)</f>
        <v>0.05784066968</v>
      </c>
      <c r="K16" s="13" t="n">
        <f aca="false">SUMPRODUCT(B16:H16,S16:Y16)</f>
        <v>0.0147622425877901</v>
      </c>
      <c r="L16" s="20" t="n">
        <f aca="false">SQRT(MAX(K16,0))</f>
        <v>0.121499969497075</v>
      </c>
      <c r="M16" s="18" t="n">
        <f aca="false">Strategies!C14</f>
        <v>0.1215</v>
      </c>
      <c r="N16" s="13" t="n">
        <f aca="false">M16^2</f>
        <v>0.01476225</v>
      </c>
      <c r="O16" s="20" t="n">
        <f aca="false">SUMPRODUCT(B16:H16,$B$4:$H$4)</f>
        <v>0.01847210182</v>
      </c>
      <c r="P16" s="18" t="n">
        <f aca="false">Strategies!D14</f>
        <v>0</v>
      </c>
      <c r="Q16" s="8" t="str">
        <f aca="false">IF(AND(ABS(I16-1)&lt;0.00001,L16&lt;=M16+0.000001,O16&gt;=P16-0.000001,SUMPRODUCT((B16:H16&lt;B31:H31-0.000001)+(B16:H16&gt;B44:H44+0.000001))=0),"OK","CHECK")</f>
        <v>OK</v>
      </c>
      <c r="S16" s="21" t="n">
        <f aca="false">MMULT($B16:$H16,Inputs!B$26:B$32)</f>
        <v>0.0162216558144</v>
      </c>
      <c r="T16" s="21" t="n">
        <f aca="false">MMULT($B16:$H16,Inputs!C$26:C$32)</f>
        <v>0.00016017576372</v>
      </c>
      <c r="U16" s="21" t="n">
        <f aca="false">MMULT($B16:$H16,Inputs!D$26:D$32)</f>
        <v>0.0059750014532</v>
      </c>
      <c r="V16" s="21" t="n">
        <f aca="false">MMULT($B16:$H16,Inputs!E$26:E$32)</f>
        <v>0.0084829152916</v>
      </c>
      <c r="W16" s="21" t="n">
        <f aca="false">MMULT($B16:$H16,Inputs!F$26:F$32)</f>
        <v>0.00318502246592</v>
      </c>
      <c r="X16" s="21" t="n">
        <f aca="false">MMULT($B16:$H16,Inputs!G$26:G$32)</f>
        <v>0.00233716413456</v>
      </c>
      <c r="Y16" s="21" t="n">
        <f aca="false">MMULT($B16:$H16,Inputs!H$26:H$32)</f>
        <v>-9.00075464E-005</v>
      </c>
    </row>
    <row r="18" customFormat="false" ht="15" hidden="false" customHeight="false" outlineLevel="0" collapsed="false">
      <c r="I18" s="8" t="s">
        <v>80</v>
      </c>
      <c r="J18" s="22" t="n">
        <f aca="false">SUM(J7:J16)</f>
        <v>0.42006010463</v>
      </c>
    </row>
    <row r="19" customFormat="false" ht="15" hidden="false" customHeight="false" outlineLevel="0" collapsed="false">
      <c r="A19" s="6" t="s">
        <v>81</v>
      </c>
    </row>
    <row r="21" customFormat="false" ht="15" hidden="false" customHeight="false" outlineLevel="0" collapsed="false">
      <c r="A21" s="10" t="s">
        <v>82</v>
      </c>
      <c r="B21" s="7" t="s">
        <v>37</v>
      </c>
      <c r="C21" s="7" t="s">
        <v>45</v>
      </c>
      <c r="D21" s="7" t="s">
        <v>46</v>
      </c>
      <c r="E21" s="7" t="s">
        <v>40</v>
      </c>
      <c r="F21" s="7" t="s">
        <v>41</v>
      </c>
      <c r="G21" s="7" t="s">
        <v>42</v>
      </c>
      <c r="H21" s="7" t="s">
        <v>43</v>
      </c>
    </row>
    <row r="22" customFormat="false" ht="15" hidden="false" customHeight="false" outlineLevel="0" collapsed="false">
      <c r="A22" s="23" t="str">
        <f aca="false">Strategies!A5</f>
        <v>Defensive</v>
      </c>
      <c r="B22" s="24" t="n">
        <f aca="false">Strategies!E5</f>
        <v>0</v>
      </c>
      <c r="C22" s="24" t="n">
        <f aca="false">Strategies!F5</f>
        <v>0</v>
      </c>
      <c r="D22" s="24" t="n">
        <f aca="false">Strategies!G5</f>
        <v>0</v>
      </c>
      <c r="E22" s="24" t="n">
        <f aca="false">Strategies!H5</f>
        <v>0</v>
      </c>
      <c r="F22" s="24" t="n">
        <f aca="false">Strategies!I5</f>
        <v>0</v>
      </c>
      <c r="G22" s="24" t="n">
        <f aca="false">Strategies!J5</f>
        <v>0</v>
      </c>
      <c r="H22" s="24" t="n">
        <f aca="false">Strategies!K5</f>
        <v>0</v>
      </c>
    </row>
    <row r="23" customFormat="false" ht="15" hidden="false" customHeight="false" outlineLevel="0" collapsed="false">
      <c r="A23" s="23" t="str">
        <f aca="false">Strategies!A6</f>
        <v>Cautious</v>
      </c>
      <c r="B23" s="24" t="n">
        <f aca="false">Strategies!E6</f>
        <v>0</v>
      </c>
      <c r="C23" s="24" t="n">
        <f aca="false">Strategies!F6</f>
        <v>0</v>
      </c>
      <c r="D23" s="24" t="n">
        <f aca="false">Strategies!G6</f>
        <v>0</v>
      </c>
      <c r="E23" s="24" t="n">
        <f aca="false">Strategies!H6</f>
        <v>0</v>
      </c>
      <c r="F23" s="24" t="n">
        <f aca="false">Strategies!I6</f>
        <v>0</v>
      </c>
      <c r="G23" s="24" t="n">
        <f aca="false">Strategies!J6</f>
        <v>0</v>
      </c>
      <c r="H23" s="24" t="n">
        <f aca="false">Strategies!K6</f>
        <v>0</v>
      </c>
    </row>
    <row r="24" customFormat="false" ht="15" hidden="false" customHeight="false" outlineLevel="0" collapsed="false">
      <c r="A24" s="23" t="str">
        <f aca="false">Strategies!A7</f>
        <v>Balanced</v>
      </c>
      <c r="B24" s="24" t="n">
        <f aca="false">Strategies!E7</f>
        <v>0</v>
      </c>
      <c r="C24" s="24" t="n">
        <f aca="false">Strategies!F7</f>
        <v>0</v>
      </c>
      <c r="D24" s="24" t="n">
        <f aca="false">Strategies!G7</f>
        <v>0</v>
      </c>
      <c r="E24" s="24" t="n">
        <f aca="false">Strategies!H7</f>
        <v>0</v>
      </c>
      <c r="F24" s="24" t="n">
        <f aca="false">Strategies!I7</f>
        <v>0</v>
      </c>
      <c r="G24" s="24" t="n">
        <f aca="false">Strategies!J7</f>
        <v>0</v>
      </c>
      <c r="H24" s="24" t="n">
        <f aca="false">Strategies!K7</f>
        <v>0</v>
      </c>
    </row>
    <row r="25" customFormat="false" ht="15" hidden="false" customHeight="false" outlineLevel="0" collapsed="false">
      <c r="A25" s="23" t="str">
        <f aca="false">Strategies!A8</f>
        <v>Growth</v>
      </c>
      <c r="B25" s="24" t="n">
        <f aca="false">Strategies!E8</f>
        <v>0</v>
      </c>
      <c r="C25" s="24" t="n">
        <f aca="false">Strategies!F8</f>
        <v>0</v>
      </c>
      <c r="D25" s="24" t="n">
        <f aca="false">Strategies!G8</f>
        <v>0</v>
      </c>
      <c r="E25" s="24" t="n">
        <f aca="false">Strategies!H8</f>
        <v>0</v>
      </c>
      <c r="F25" s="24" t="n">
        <f aca="false">Strategies!I8</f>
        <v>0</v>
      </c>
      <c r="G25" s="24" t="n">
        <f aca="false">Strategies!J8</f>
        <v>0</v>
      </c>
      <c r="H25" s="24" t="n">
        <f aca="false">Strategies!K8</f>
        <v>0</v>
      </c>
    </row>
    <row r="26" customFormat="false" ht="15" hidden="false" customHeight="false" outlineLevel="0" collapsed="false">
      <c r="A26" s="23" t="str">
        <f aca="false">Strategies!A9</f>
        <v>Income</v>
      </c>
      <c r="B26" s="24" t="n">
        <f aca="false">Strategies!E9</f>
        <v>0</v>
      </c>
      <c r="C26" s="24" t="n">
        <f aca="false">Strategies!F9</f>
        <v>0</v>
      </c>
      <c r="D26" s="24" t="n">
        <f aca="false">Strategies!G9</f>
        <v>0</v>
      </c>
      <c r="E26" s="24" t="n">
        <f aca="false">Strategies!H9</f>
        <v>0</v>
      </c>
      <c r="F26" s="24" t="n">
        <f aca="false">Strategies!I9</f>
        <v>0</v>
      </c>
      <c r="G26" s="24" t="n">
        <f aca="false">Strategies!J9</f>
        <v>0</v>
      </c>
      <c r="H26" s="24" t="n">
        <f aca="false">Strategies!K9</f>
        <v>0</v>
      </c>
    </row>
    <row r="27" customFormat="false" ht="15" hidden="false" customHeight="false" outlineLevel="0" collapsed="false">
      <c r="A27" s="23" t="str">
        <f aca="false">Strategies!A10</f>
        <v>Income Plus</v>
      </c>
      <c r="B27" s="24" t="n">
        <f aca="false">Strategies!E10</f>
        <v>0</v>
      </c>
      <c r="C27" s="24" t="n">
        <f aca="false">Strategies!F10</f>
        <v>0</v>
      </c>
      <c r="D27" s="24" t="n">
        <f aca="false">Strategies!G10</f>
        <v>0</v>
      </c>
      <c r="E27" s="24" t="n">
        <f aca="false">Strategies!H10</f>
        <v>0</v>
      </c>
      <c r="F27" s="24" t="n">
        <f aca="false">Strategies!I10</f>
        <v>0</v>
      </c>
      <c r="G27" s="24" t="n">
        <f aca="false">Strategies!J10</f>
        <v>0</v>
      </c>
      <c r="H27" s="24" t="n">
        <f aca="false">Strategies!K10</f>
        <v>0</v>
      </c>
    </row>
    <row r="28" customFormat="false" ht="15" hidden="false" customHeight="false" outlineLevel="0" collapsed="false">
      <c r="A28" s="23" t="str">
        <f aca="false">Strategies!A11</f>
        <v>Defensive Responsible</v>
      </c>
      <c r="B28" s="24" t="n">
        <f aca="false">Strategies!E11</f>
        <v>0</v>
      </c>
      <c r="C28" s="24" t="n">
        <f aca="false">Strategies!F11</f>
        <v>0</v>
      </c>
      <c r="D28" s="24" t="n">
        <f aca="false">Strategies!G11</f>
        <v>0</v>
      </c>
      <c r="E28" s="24" t="n">
        <f aca="false">Strategies!H11</f>
        <v>0</v>
      </c>
      <c r="F28" s="24" t="n">
        <f aca="false">Strategies!I11</f>
        <v>0</v>
      </c>
      <c r="G28" s="24" t="n">
        <f aca="false">Strategies!J11</f>
        <v>0</v>
      </c>
      <c r="H28" s="24" t="n">
        <f aca="false">Strategies!K11</f>
        <v>0</v>
      </c>
    </row>
    <row r="29" customFormat="false" ht="15" hidden="false" customHeight="false" outlineLevel="0" collapsed="false">
      <c r="A29" s="23" t="str">
        <f aca="false">Strategies!A12</f>
        <v>Cautious Responsible</v>
      </c>
      <c r="B29" s="24" t="n">
        <f aca="false">Strategies!E12</f>
        <v>0</v>
      </c>
      <c r="C29" s="24" t="n">
        <f aca="false">Strategies!F12</f>
        <v>0</v>
      </c>
      <c r="D29" s="24" t="n">
        <f aca="false">Strategies!G12</f>
        <v>0</v>
      </c>
      <c r="E29" s="24" t="n">
        <f aca="false">Strategies!H12</f>
        <v>0</v>
      </c>
      <c r="F29" s="24" t="n">
        <f aca="false">Strategies!I12</f>
        <v>0</v>
      </c>
      <c r="G29" s="24" t="n">
        <f aca="false">Strategies!J12</f>
        <v>0</v>
      </c>
      <c r="H29" s="24" t="n">
        <f aca="false">Strategies!K12</f>
        <v>0</v>
      </c>
    </row>
    <row r="30" customFormat="false" ht="15" hidden="false" customHeight="false" outlineLevel="0" collapsed="false">
      <c r="A30" s="23" t="str">
        <f aca="false">Strategies!A13</f>
        <v>Balanced Responsible</v>
      </c>
      <c r="B30" s="24" t="n">
        <f aca="false">Strategies!E13</f>
        <v>0</v>
      </c>
      <c r="C30" s="24" t="n">
        <f aca="false">Strategies!F13</f>
        <v>0</v>
      </c>
      <c r="D30" s="24" t="n">
        <f aca="false">Strategies!G13</f>
        <v>0</v>
      </c>
      <c r="E30" s="24" t="n">
        <f aca="false">Strategies!H13</f>
        <v>0</v>
      </c>
      <c r="F30" s="24" t="n">
        <f aca="false">Strategies!I13</f>
        <v>0</v>
      </c>
      <c r="G30" s="24" t="n">
        <f aca="false">Strategies!J13</f>
        <v>0</v>
      </c>
      <c r="H30" s="24" t="n">
        <f aca="false">Strategies!K13</f>
        <v>0</v>
      </c>
    </row>
    <row r="31" customFormat="false" ht="15" hidden="false" customHeight="false" outlineLevel="0" collapsed="false">
      <c r="A31" s="23" t="str">
        <f aca="false">Strategies!A14</f>
        <v>Growth Responsible</v>
      </c>
      <c r="B31" s="24" t="n">
        <f aca="false">Strategies!E14</f>
        <v>0</v>
      </c>
      <c r="C31" s="24" t="n">
        <f aca="false">Strategies!F14</f>
        <v>0</v>
      </c>
      <c r="D31" s="24" t="n">
        <f aca="false">Strategies!G14</f>
        <v>0</v>
      </c>
      <c r="E31" s="24" t="n">
        <f aca="false">Strategies!H14</f>
        <v>0</v>
      </c>
      <c r="F31" s="24" t="n">
        <f aca="false">Strategies!I14</f>
        <v>0</v>
      </c>
      <c r="G31" s="24" t="n">
        <f aca="false">Strategies!J14</f>
        <v>0</v>
      </c>
      <c r="H31" s="24" t="n">
        <f aca="false">Strategies!K14</f>
        <v>0</v>
      </c>
    </row>
    <row r="34" customFormat="false" ht="15" hidden="false" customHeight="false" outlineLevel="0" collapsed="false">
      <c r="A34" s="10" t="s">
        <v>83</v>
      </c>
      <c r="B34" s="7" t="s">
        <v>37</v>
      </c>
      <c r="C34" s="7" t="s">
        <v>45</v>
      </c>
      <c r="D34" s="7" t="s">
        <v>46</v>
      </c>
      <c r="E34" s="7" t="s">
        <v>40</v>
      </c>
      <c r="F34" s="7" t="s">
        <v>41</v>
      </c>
      <c r="G34" s="7" t="s">
        <v>42</v>
      </c>
      <c r="H34" s="7" t="s">
        <v>43</v>
      </c>
    </row>
    <row r="35" customFormat="false" ht="15" hidden="false" customHeight="false" outlineLevel="0" collapsed="false">
      <c r="A35" s="23" t="str">
        <f aca="false">Strategies!A5</f>
        <v>Defensive</v>
      </c>
      <c r="B35" s="24" t="n">
        <f aca="false">Strategies!L5</f>
        <v>1</v>
      </c>
      <c r="C35" s="24" t="n">
        <f aca="false">Strategies!M5</f>
        <v>1</v>
      </c>
      <c r="D35" s="24" t="n">
        <f aca="false">Strategies!N5</f>
        <v>0.4</v>
      </c>
      <c r="E35" s="24" t="n">
        <f aca="false">Strategies!O5</f>
        <v>0.1</v>
      </c>
      <c r="F35" s="24" t="n">
        <f aca="false">Strategies!P5</f>
        <v>0.1</v>
      </c>
      <c r="G35" s="24" t="n">
        <f aca="false">Strategies!Q5</f>
        <v>0.15</v>
      </c>
      <c r="H35" s="24" t="n">
        <f aca="false">Strategies!R5</f>
        <v>1</v>
      </c>
    </row>
    <row r="36" customFormat="false" ht="15" hidden="false" customHeight="false" outlineLevel="0" collapsed="false">
      <c r="A36" s="23" t="str">
        <f aca="false">Strategies!A6</f>
        <v>Cautious</v>
      </c>
      <c r="B36" s="24" t="n">
        <f aca="false">Strategies!L6</f>
        <v>1</v>
      </c>
      <c r="C36" s="24" t="n">
        <f aca="false">Strategies!M6</f>
        <v>1</v>
      </c>
      <c r="D36" s="24" t="n">
        <f aca="false">Strategies!N6</f>
        <v>0.4</v>
      </c>
      <c r="E36" s="24" t="n">
        <f aca="false">Strategies!O6</f>
        <v>0.1</v>
      </c>
      <c r="F36" s="24" t="n">
        <f aca="false">Strategies!P6</f>
        <v>0.1</v>
      </c>
      <c r="G36" s="24" t="n">
        <f aca="false">Strategies!Q6</f>
        <v>0.15</v>
      </c>
      <c r="H36" s="24" t="n">
        <f aca="false">Strategies!R6</f>
        <v>1</v>
      </c>
    </row>
    <row r="37" customFormat="false" ht="15" hidden="false" customHeight="false" outlineLevel="0" collapsed="false">
      <c r="A37" s="23" t="str">
        <f aca="false">Strategies!A7</f>
        <v>Balanced</v>
      </c>
      <c r="B37" s="24" t="n">
        <f aca="false">Strategies!L7</f>
        <v>1</v>
      </c>
      <c r="C37" s="24" t="n">
        <f aca="false">Strategies!M7</f>
        <v>1</v>
      </c>
      <c r="D37" s="24" t="n">
        <f aca="false">Strategies!N7</f>
        <v>0.4</v>
      </c>
      <c r="E37" s="24" t="n">
        <f aca="false">Strategies!O7</f>
        <v>0.1</v>
      </c>
      <c r="F37" s="24" t="n">
        <f aca="false">Strategies!P7</f>
        <v>0.1</v>
      </c>
      <c r="G37" s="24" t="n">
        <f aca="false">Strategies!Q7</f>
        <v>0.15</v>
      </c>
      <c r="H37" s="24" t="n">
        <f aca="false">Strategies!R7</f>
        <v>1</v>
      </c>
    </row>
    <row r="38" customFormat="false" ht="15" hidden="false" customHeight="false" outlineLevel="0" collapsed="false">
      <c r="A38" s="23" t="str">
        <f aca="false">Strategies!A8</f>
        <v>Growth</v>
      </c>
      <c r="B38" s="24" t="n">
        <f aca="false">Strategies!L8</f>
        <v>1</v>
      </c>
      <c r="C38" s="24" t="n">
        <f aca="false">Strategies!M8</f>
        <v>1</v>
      </c>
      <c r="D38" s="24" t="n">
        <f aca="false">Strategies!N8</f>
        <v>0.4</v>
      </c>
      <c r="E38" s="24" t="n">
        <f aca="false">Strategies!O8</f>
        <v>0.1</v>
      </c>
      <c r="F38" s="24" t="n">
        <f aca="false">Strategies!P8</f>
        <v>0.1</v>
      </c>
      <c r="G38" s="24" t="n">
        <f aca="false">Strategies!Q8</f>
        <v>0.15</v>
      </c>
      <c r="H38" s="24" t="n">
        <f aca="false">Strategies!R8</f>
        <v>1</v>
      </c>
    </row>
    <row r="39" customFormat="false" ht="15" hidden="false" customHeight="false" outlineLevel="0" collapsed="false">
      <c r="A39" s="23" t="str">
        <f aca="false">Strategies!A9</f>
        <v>Income</v>
      </c>
      <c r="B39" s="24" t="n">
        <f aca="false">Strategies!L9</f>
        <v>1</v>
      </c>
      <c r="C39" s="24" t="n">
        <f aca="false">Strategies!M9</f>
        <v>1</v>
      </c>
      <c r="D39" s="24" t="n">
        <f aca="false">Strategies!N9</f>
        <v>0.4</v>
      </c>
      <c r="E39" s="24" t="n">
        <f aca="false">Strategies!O9</f>
        <v>0.1</v>
      </c>
      <c r="F39" s="24" t="n">
        <f aca="false">Strategies!P9</f>
        <v>0.1</v>
      </c>
      <c r="G39" s="24" t="n">
        <f aca="false">Strategies!Q9</f>
        <v>0.15</v>
      </c>
      <c r="H39" s="24" t="n">
        <f aca="false">Strategies!R9</f>
        <v>1</v>
      </c>
    </row>
    <row r="40" customFormat="false" ht="15" hidden="false" customHeight="false" outlineLevel="0" collapsed="false">
      <c r="A40" s="23" t="str">
        <f aca="false">Strategies!A10</f>
        <v>Income Plus</v>
      </c>
      <c r="B40" s="24" t="n">
        <f aca="false">Strategies!L10</f>
        <v>1</v>
      </c>
      <c r="C40" s="24" t="n">
        <f aca="false">Strategies!M10</f>
        <v>1</v>
      </c>
      <c r="D40" s="24" t="n">
        <f aca="false">Strategies!N10</f>
        <v>0.4</v>
      </c>
      <c r="E40" s="24" t="n">
        <f aca="false">Strategies!O10</f>
        <v>0.1</v>
      </c>
      <c r="F40" s="24" t="n">
        <f aca="false">Strategies!P10</f>
        <v>0.1</v>
      </c>
      <c r="G40" s="24" t="n">
        <f aca="false">Strategies!Q10</f>
        <v>0.15</v>
      </c>
      <c r="H40" s="24" t="n">
        <f aca="false">Strategies!R10</f>
        <v>1</v>
      </c>
    </row>
    <row r="41" customFormat="false" ht="15" hidden="false" customHeight="false" outlineLevel="0" collapsed="false">
      <c r="A41" s="23" t="str">
        <f aca="false">Strategies!A11</f>
        <v>Defensive Responsible</v>
      </c>
      <c r="B41" s="24" t="n">
        <f aca="false">Strategies!L11</f>
        <v>1</v>
      </c>
      <c r="C41" s="24" t="n">
        <f aca="false">Strategies!M11</f>
        <v>1</v>
      </c>
      <c r="D41" s="24" t="n">
        <f aca="false">Strategies!N11</f>
        <v>0.4</v>
      </c>
      <c r="E41" s="24" t="n">
        <f aca="false">Strategies!O11</f>
        <v>0.1</v>
      </c>
      <c r="F41" s="24" t="n">
        <f aca="false">Strategies!P11</f>
        <v>0.1</v>
      </c>
      <c r="G41" s="24" t="n">
        <f aca="false">Strategies!Q11</f>
        <v>0.15</v>
      </c>
      <c r="H41" s="24" t="n">
        <f aca="false">Strategies!R11</f>
        <v>1</v>
      </c>
    </row>
    <row r="42" customFormat="false" ht="15" hidden="false" customHeight="false" outlineLevel="0" collapsed="false">
      <c r="A42" s="23" t="str">
        <f aca="false">Strategies!A12</f>
        <v>Cautious Responsible</v>
      </c>
      <c r="B42" s="24" t="n">
        <f aca="false">Strategies!L12</f>
        <v>1</v>
      </c>
      <c r="C42" s="24" t="n">
        <f aca="false">Strategies!M12</f>
        <v>1</v>
      </c>
      <c r="D42" s="24" t="n">
        <f aca="false">Strategies!N12</f>
        <v>0.4</v>
      </c>
      <c r="E42" s="24" t="n">
        <f aca="false">Strategies!O12</f>
        <v>0.1</v>
      </c>
      <c r="F42" s="24" t="n">
        <f aca="false">Strategies!P12</f>
        <v>0.1</v>
      </c>
      <c r="G42" s="24" t="n">
        <f aca="false">Strategies!Q12</f>
        <v>0.15</v>
      </c>
      <c r="H42" s="24" t="n">
        <f aca="false">Strategies!R12</f>
        <v>1</v>
      </c>
    </row>
    <row r="43" customFormat="false" ht="15" hidden="false" customHeight="false" outlineLevel="0" collapsed="false">
      <c r="A43" s="23" t="str">
        <f aca="false">Strategies!A13</f>
        <v>Balanced Responsible</v>
      </c>
      <c r="B43" s="24" t="n">
        <f aca="false">Strategies!L13</f>
        <v>1</v>
      </c>
      <c r="C43" s="24" t="n">
        <f aca="false">Strategies!M13</f>
        <v>1</v>
      </c>
      <c r="D43" s="24" t="n">
        <f aca="false">Strategies!N13</f>
        <v>0.4</v>
      </c>
      <c r="E43" s="24" t="n">
        <f aca="false">Strategies!O13</f>
        <v>0.1</v>
      </c>
      <c r="F43" s="24" t="n">
        <f aca="false">Strategies!P13</f>
        <v>0.1</v>
      </c>
      <c r="G43" s="24" t="n">
        <f aca="false">Strategies!Q13</f>
        <v>0.15</v>
      </c>
      <c r="H43" s="24" t="n">
        <f aca="false">Strategies!R13</f>
        <v>1</v>
      </c>
    </row>
    <row r="44" customFormat="false" ht="15" hidden="false" customHeight="false" outlineLevel="0" collapsed="false">
      <c r="A44" s="23" t="str">
        <f aca="false">Strategies!A14</f>
        <v>Growth Responsible</v>
      </c>
      <c r="B44" s="24" t="n">
        <f aca="false">Strategies!L14</f>
        <v>1</v>
      </c>
      <c r="C44" s="24" t="n">
        <f aca="false">Strategies!M14</f>
        <v>1</v>
      </c>
      <c r="D44" s="24" t="n">
        <f aca="false">Strategies!N14</f>
        <v>0.4</v>
      </c>
      <c r="E44" s="24" t="n">
        <f aca="false">Strategies!O14</f>
        <v>0.1</v>
      </c>
      <c r="F44" s="24" t="n">
        <f aca="false">Strategies!P14</f>
        <v>0.1</v>
      </c>
      <c r="G44" s="24" t="n">
        <f aca="false">Strategies!Q14</f>
        <v>0.15</v>
      </c>
      <c r="H44" s="24" t="n">
        <f aca="false">Strategies!R14</f>
        <v>1</v>
      </c>
    </row>
  </sheetData>
  <conditionalFormatting sqref="Q7:Q16">
    <cfRule type="cellIs" priority="2" operator="equal" aboveAverage="0" equalAverage="0" bottom="0" percent="0" rank="0" text="" dxfId="0">
      <formula>"OK"</formula>
    </cfRule>
    <cfRule type="cellIs" priority="3" operator="equal" aboveAverage="0" equalAverage="0" bottom="0" percent="0" rank="0" text="" dxfId="1">
      <formula>"CHECK"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5" min="2" style="0" width="12"/>
  </cols>
  <sheetData>
    <row r="1" customFormat="false" ht="17.35" hidden="false" customHeight="false" outlineLevel="0" collapsed="false">
      <c r="A1" s="5" t="s">
        <v>84</v>
      </c>
    </row>
    <row r="2" customFormat="false" ht="15" hidden="false" customHeight="false" outlineLevel="0" collapsed="false">
      <c r="A2" s="6" t="s">
        <v>85</v>
      </c>
    </row>
    <row r="3" customFormat="false" ht="15" hidden="false" customHeight="false" outlineLevel="0" collapsed="false">
      <c r="J3" s="10" t="s">
        <v>86</v>
      </c>
    </row>
    <row r="4" customFormat="false" ht="15" hidden="false" customHeight="false" outlineLevel="0" collapsed="false">
      <c r="J4" s="25" t="s">
        <v>87</v>
      </c>
      <c r="K4" s="25"/>
      <c r="L4" s="25"/>
      <c r="M4" s="17" t="n">
        <v>0.01</v>
      </c>
    </row>
    <row r="5" customFormat="false" ht="15" hidden="false" customHeight="false" outlineLevel="0" collapsed="false">
      <c r="J5" s="25" t="s">
        <v>88</v>
      </c>
      <c r="K5" s="25"/>
      <c r="L5" s="25"/>
      <c r="M5" s="17" t="n">
        <v>0.0005</v>
      </c>
    </row>
    <row r="6" customFormat="false" ht="15" hidden="false" customHeight="false" outlineLevel="0" collapsed="false">
      <c r="J6" s="25" t="s">
        <v>89</v>
      </c>
      <c r="K6" s="25"/>
      <c r="L6" s="25"/>
      <c r="M6" s="17" t="n">
        <v>0.0005</v>
      </c>
    </row>
    <row r="7" customFormat="false" ht="15" hidden="false" customHeight="false" outlineLevel="0" collapsed="false">
      <c r="J7" s="25" t="s">
        <v>90</v>
      </c>
      <c r="K7" s="25"/>
      <c r="L7" s="25"/>
      <c r="M7" s="17" t="n">
        <v>0.001</v>
      </c>
    </row>
    <row r="8" customFormat="false" ht="15" hidden="false" customHeight="false" outlineLevel="0" collapsed="false">
      <c r="J8" s="25" t="s">
        <v>91</v>
      </c>
      <c r="K8" s="25"/>
      <c r="L8" s="25"/>
      <c r="M8" s="17" t="n">
        <v>0.0005</v>
      </c>
    </row>
    <row r="9" customFormat="false" ht="15" hidden="false" customHeight="false" outlineLevel="0" collapsed="false">
      <c r="J9" s="25" t="s">
        <v>92</v>
      </c>
      <c r="K9" s="25"/>
      <c r="L9" s="25"/>
      <c r="M9" s="17" t="n">
        <v>0.0002</v>
      </c>
    </row>
    <row r="12" customFormat="false" ht="15" hidden="false" customHeight="false" outlineLevel="0" collapsed="false">
      <c r="A12" s="10" t="s">
        <v>93</v>
      </c>
    </row>
    <row r="13" customFormat="false" ht="42" hidden="false" customHeight="true" outlineLevel="0" collapsed="false">
      <c r="A13" s="7" t="s">
        <v>53</v>
      </c>
      <c r="B13" s="7" t="s">
        <v>37</v>
      </c>
      <c r="C13" s="7" t="s">
        <v>45</v>
      </c>
      <c r="D13" s="7" t="s">
        <v>46</v>
      </c>
      <c r="E13" s="7" t="s">
        <v>40</v>
      </c>
      <c r="F13" s="7" t="s">
        <v>41</v>
      </c>
      <c r="G13" s="7" t="s">
        <v>42</v>
      </c>
      <c r="H13" s="7" t="s">
        <v>43</v>
      </c>
      <c r="I13" s="7" t="s">
        <v>69</v>
      </c>
      <c r="J13" s="7" t="s">
        <v>34</v>
      </c>
      <c r="K13" s="7" t="s">
        <v>35</v>
      </c>
      <c r="L13" s="7" t="s">
        <v>36</v>
      </c>
      <c r="S13" s="7" t="s">
        <v>73</v>
      </c>
      <c r="T13" s="7" t="s">
        <v>74</v>
      </c>
      <c r="U13" s="7" t="s">
        <v>75</v>
      </c>
      <c r="V13" s="7" t="s">
        <v>76</v>
      </c>
      <c r="W13" s="7" t="s">
        <v>77</v>
      </c>
      <c r="X13" s="7" t="s">
        <v>78</v>
      </c>
      <c r="Y13" s="7" t="s">
        <v>79</v>
      </c>
    </row>
    <row r="14" customFormat="false" ht="15" hidden="false" customHeight="false" outlineLevel="0" collapsed="false">
      <c r="A14" s="19" t="str">
        <f aca="false">Strategies!A5</f>
        <v>Defensive</v>
      </c>
      <c r="B14" s="17"/>
      <c r="C14" s="17"/>
      <c r="D14" s="17"/>
      <c r="E14" s="17"/>
      <c r="F14" s="17"/>
      <c r="G14" s="17"/>
      <c r="H14" s="17"/>
      <c r="I14" s="16" t="str">
        <f aca="false">IF(COUNT(B14:H14)=0,"n/a",SUM(B14:H14))</f>
        <v>n/a</v>
      </c>
      <c r="J14" s="20" t="str">
        <f aca="false">IF(COUNT(B14:H14)=0,"n/a",SUMPRODUCT(B14:H14,Benchmark!$B$3:$H$3))</f>
        <v>n/a</v>
      </c>
      <c r="K14" s="20" t="str">
        <f aca="false">IF(COUNT(B14:H14)=0,"n/a",SQRT(MAX(SUMPRODUCT(B14:H14,S14:Y14),0)))</f>
        <v>n/a</v>
      </c>
      <c r="L14" s="20" t="str">
        <f aca="false">IF(COUNT(B14:H14)=0,"n/a",SUMPRODUCT(B14:H14,Benchmark!$B$4:$H$4))</f>
        <v>n/a</v>
      </c>
      <c r="S14" s="21" t="n">
        <f aca="false">IF(COUNT($B14:$H14)=0,0,MMULT($B14:$H14,Inputs!B$26:B$32))</f>
        <v>0</v>
      </c>
      <c r="T14" s="21" t="n">
        <f aca="false">IF(COUNT($B14:$H14)=0,0,MMULT($B14:$H14,Inputs!C$26:C$32))</f>
        <v>0</v>
      </c>
      <c r="U14" s="21" t="n">
        <f aca="false">IF(COUNT($B14:$H14)=0,0,MMULT($B14:$H14,Inputs!D$26:D$32))</f>
        <v>0</v>
      </c>
      <c r="V14" s="21" t="n">
        <f aca="false">IF(COUNT($B14:$H14)=0,0,MMULT($B14:$H14,Inputs!E$26:E$32))</f>
        <v>0</v>
      </c>
      <c r="W14" s="21" t="n">
        <f aca="false">IF(COUNT($B14:$H14)=0,0,MMULT($B14:$H14,Inputs!F$26:F$32))</f>
        <v>0</v>
      </c>
      <c r="X14" s="21" t="n">
        <f aca="false">IF(COUNT($B14:$H14)=0,0,MMULT($B14:$H14,Inputs!G$26:G$32))</f>
        <v>0</v>
      </c>
      <c r="Y14" s="21" t="n">
        <f aca="false">IF(COUNT($B14:$H14)=0,0,MMULT($B14:$H14,Inputs!H$26:H$32))</f>
        <v>0</v>
      </c>
    </row>
    <row r="15" customFormat="false" ht="15" hidden="false" customHeight="false" outlineLevel="0" collapsed="false">
      <c r="A15" s="19" t="str">
        <f aca="false">Strategies!A6</f>
        <v>Cautious</v>
      </c>
      <c r="B15" s="17"/>
      <c r="C15" s="17"/>
      <c r="D15" s="17"/>
      <c r="E15" s="17"/>
      <c r="F15" s="17"/>
      <c r="G15" s="17"/>
      <c r="H15" s="17"/>
      <c r="I15" s="16" t="str">
        <f aca="false">IF(COUNT(B15:H15)=0,"n/a",SUM(B15:H15))</f>
        <v>n/a</v>
      </c>
      <c r="J15" s="20" t="str">
        <f aca="false">IF(COUNT(B15:H15)=0,"n/a",SUMPRODUCT(B15:H15,Benchmark!$B$3:$H$3))</f>
        <v>n/a</v>
      </c>
      <c r="K15" s="20" t="str">
        <f aca="false">IF(COUNT(B15:H15)=0,"n/a",SQRT(MAX(SUMPRODUCT(B15:H15,S15:Y15),0)))</f>
        <v>n/a</v>
      </c>
      <c r="L15" s="20" t="str">
        <f aca="false">IF(COUNT(B15:H15)=0,"n/a",SUMPRODUCT(B15:H15,Benchmark!$B$4:$H$4))</f>
        <v>n/a</v>
      </c>
      <c r="S15" s="21" t="n">
        <f aca="false">IF(COUNT($B15:$H15)=0,0,MMULT($B15:$H15,Inputs!B$26:B$32))</f>
        <v>0</v>
      </c>
      <c r="T15" s="21" t="n">
        <f aca="false">IF(COUNT($B15:$H15)=0,0,MMULT($B15:$H15,Inputs!C$26:C$32))</f>
        <v>0</v>
      </c>
      <c r="U15" s="21" t="n">
        <f aca="false">IF(COUNT($B15:$H15)=0,0,MMULT($B15:$H15,Inputs!D$26:D$32))</f>
        <v>0</v>
      </c>
      <c r="V15" s="21" t="n">
        <f aca="false">IF(COUNT($B15:$H15)=0,0,MMULT($B15:$H15,Inputs!E$26:E$32))</f>
        <v>0</v>
      </c>
      <c r="W15" s="21" t="n">
        <f aca="false">IF(COUNT($B15:$H15)=0,0,MMULT($B15:$H15,Inputs!F$26:F$32))</f>
        <v>0</v>
      </c>
      <c r="X15" s="21" t="n">
        <f aca="false">IF(COUNT($B15:$H15)=0,0,MMULT($B15:$H15,Inputs!G$26:G$32))</f>
        <v>0</v>
      </c>
      <c r="Y15" s="21" t="n">
        <f aca="false">IF(COUNT($B15:$H15)=0,0,MMULT($B15:$H15,Inputs!H$26:H$32))</f>
        <v>0</v>
      </c>
    </row>
    <row r="16" customFormat="false" ht="15" hidden="false" customHeight="false" outlineLevel="0" collapsed="false">
      <c r="A16" s="19" t="str">
        <f aca="false">Strategies!A7</f>
        <v>Balanced</v>
      </c>
      <c r="B16" s="17"/>
      <c r="C16" s="17"/>
      <c r="D16" s="17"/>
      <c r="E16" s="17"/>
      <c r="F16" s="17"/>
      <c r="G16" s="17"/>
      <c r="H16" s="17"/>
      <c r="I16" s="16" t="str">
        <f aca="false">IF(COUNT(B16:H16)=0,"n/a",SUM(B16:H16))</f>
        <v>n/a</v>
      </c>
      <c r="J16" s="20" t="str">
        <f aca="false">IF(COUNT(B16:H16)=0,"n/a",SUMPRODUCT(B16:H16,Benchmark!$B$3:$H$3))</f>
        <v>n/a</v>
      </c>
      <c r="K16" s="20" t="str">
        <f aca="false">IF(COUNT(B16:H16)=0,"n/a",SQRT(MAX(SUMPRODUCT(B16:H16,S16:Y16),0)))</f>
        <v>n/a</v>
      </c>
      <c r="L16" s="20" t="str">
        <f aca="false">IF(COUNT(B16:H16)=0,"n/a",SUMPRODUCT(B16:H16,Benchmark!$B$4:$H$4))</f>
        <v>n/a</v>
      </c>
      <c r="S16" s="21" t="n">
        <f aca="false">IF(COUNT($B16:$H16)=0,0,MMULT($B16:$H16,Inputs!B$26:B$32))</f>
        <v>0</v>
      </c>
      <c r="T16" s="21" t="n">
        <f aca="false">IF(COUNT($B16:$H16)=0,0,MMULT($B16:$H16,Inputs!C$26:C$32))</f>
        <v>0</v>
      </c>
      <c r="U16" s="21" t="n">
        <f aca="false">IF(COUNT($B16:$H16)=0,0,MMULT($B16:$H16,Inputs!D$26:D$32))</f>
        <v>0</v>
      </c>
      <c r="V16" s="21" t="n">
        <f aca="false">IF(COUNT($B16:$H16)=0,0,MMULT($B16:$H16,Inputs!E$26:E$32))</f>
        <v>0</v>
      </c>
      <c r="W16" s="21" t="n">
        <f aca="false">IF(COUNT($B16:$H16)=0,0,MMULT($B16:$H16,Inputs!F$26:F$32))</f>
        <v>0</v>
      </c>
      <c r="X16" s="21" t="n">
        <f aca="false">IF(COUNT($B16:$H16)=0,0,MMULT($B16:$H16,Inputs!G$26:G$32))</f>
        <v>0</v>
      </c>
      <c r="Y16" s="21" t="n">
        <f aca="false">IF(COUNT($B16:$H16)=0,0,MMULT($B16:$H16,Inputs!H$26:H$32))</f>
        <v>0</v>
      </c>
    </row>
    <row r="17" customFormat="false" ht="15" hidden="false" customHeight="false" outlineLevel="0" collapsed="false">
      <c r="A17" s="19" t="str">
        <f aca="false">Strategies!A8</f>
        <v>Growth</v>
      </c>
      <c r="B17" s="17"/>
      <c r="C17" s="17"/>
      <c r="D17" s="17"/>
      <c r="E17" s="17"/>
      <c r="F17" s="17"/>
      <c r="G17" s="17"/>
      <c r="H17" s="17"/>
      <c r="I17" s="16" t="str">
        <f aca="false">IF(COUNT(B17:H17)=0,"n/a",SUM(B17:H17))</f>
        <v>n/a</v>
      </c>
      <c r="J17" s="20" t="str">
        <f aca="false">IF(COUNT(B17:H17)=0,"n/a",SUMPRODUCT(B17:H17,Benchmark!$B$3:$H$3))</f>
        <v>n/a</v>
      </c>
      <c r="K17" s="20" t="str">
        <f aca="false">IF(COUNT(B17:H17)=0,"n/a",SQRT(MAX(SUMPRODUCT(B17:H17,S17:Y17),0)))</f>
        <v>n/a</v>
      </c>
      <c r="L17" s="20" t="str">
        <f aca="false">IF(COUNT(B17:H17)=0,"n/a",SUMPRODUCT(B17:H17,Benchmark!$B$4:$H$4))</f>
        <v>n/a</v>
      </c>
      <c r="S17" s="21" t="n">
        <f aca="false">IF(COUNT($B17:$H17)=0,0,MMULT($B17:$H17,Inputs!B$26:B$32))</f>
        <v>0</v>
      </c>
      <c r="T17" s="21" t="n">
        <f aca="false">IF(COUNT($B17:$H17)=0,0,MMULT($B17:$H17,Inputs!C$26:C$32))</f>
        <v>0</v>
      </c>
      <c r="U17" s="21" t="n">
        <f aca="false">IF(COUNT($B17:$H17)=0,0,MMULT($B17:$H17,Inputs!D$26:D$32))</f>
        <v>0</v>
      </c>
      <c r="V17" s="21" t="n">
        <f aca="false">IF(COUNT($B17:$H17)=0,0,MMULT($B17:$H17,Inputs!E$26:E$32))</f>
        <v>0</v>
      </c>
      <c r="W17" s="21" t="n">
        <f aca="false">IF(COUNT($B17:$H17)=0,0,MMULT($B17:$H17,Inputs!F$26:F$32))</f>
        <v>0</v>
      </c>
      <c r="X17" s="21" t="n">
        <f aca="false">IF(COUNT($B17:$H17)=0,0,MMULT($B17:$H17,Inputs!G$26:G$32))</f>
        <v>0</v>
      </c>
      <c r="Y17" s="21" t="n">
        <f aca="false">IF(COUNT($B17:$H17)=0,0,MMULT($B17:$H17,Inputs!H$26:H$32))</f>
        <v>0</v>
      </c>
    </row>
    <row r="18" customFormat="false" ht="15" hidden="false" customHeight="false" outlineLevel="0" collapsed="false">
      <c r="A18" s="19" t="str">
        <f aca="false">Strategies!A9</f>
        <v>Income</v>
      </c>
      <c r="B18" s="17"/>
      <c r="C18" s="17"/>
      <c r="D18" s="17"/>
      <c r="E18" s="17"/>
      <c r="F18" s="17"/>
      <c r="G18" s="17"/>
      <c r="H18" s="17"/>
      <c r="I18" s="16" t="str">
        <f aca="false">IF(COUNT(B18:H18)=0,"n/a",SUM(B18:H18))</f>
        <v>n/a</v>
      </c>
      <c r="J18" s="20" t="str">
        <f aca="false">IF(COUNT(B18:H18)=0,"n/a",SUMPRODUCT(B18:H18,Benchmark!$B$3:$H$3))</f>
        <v>n/a</v>
      </c>
      <c r="K18" s="20" t="str">
        <f aca="false">IF(COUNT(B18:H18)=0,"n/a",SQRT(MAX(SUMPRODUCT(B18:H18,S18:Y18),0)))</f>
        <v>n/a</v>
      </c>
      <c r="L18" s="20" t="str">
        <f aca="false">IF(COUNT(B18:H18)=0,"n/a",SUMPRODUCT(B18:H18,Benchmark!$B$4:$H$4))</f>
        <v>n/a</v>
      </c>
      <c r="S18" s="21" t="n">
        <f aca="false">IF(COUNT($B18:$H18)=0,0,MMULT($B18:$H18,Inputs!B$26:B$32))</f>
        <v>0</v>
      </c>
      <c r="T18" s="21" t="n">
        <f aca="false">IF(COUNT($B18:$H18)=0,0,MMULT($B18:$H18,Inputs!C$26:C$32))</f>
        <v>0</v>
      </c>
      <c r="U18" s="21" t="n">
        <f aca="false">IF(COUNT($B18:$H18)=0,0,MMULT($B18:$H18,Inputs!D$26:D$32))</f>
        <v>0</v>
      </c>
      <c r="V18" s="21" t="n">
        <f aca="false">IF(COUNT($B18:$H18)=0,0,MMULT($B18:$H18,Inputs!E$26:E$32))</f>
        <v>0</v>
      </c>
      <c r="W18" s="21" t="n">
        <f aca="false">IF(COUNT($B18:$H18)=0,0,MMULT($B18:$H18,Inputs!F$26:F$32))</f>
        <v>0</v>
      </c>
      <c r="X18" s="21" t="n">
        <f aca="false">IF(COUNT($B18:$H18)=0,0,MMULT($B18:$H18,Inputs!G$26:G$32))</f>
        <v>0</v>
      </c>
      <c r="Y18" s="21" t="n">
        <f aca="false">IF(COUNT($B18:$H18)=0,0,MMULT($B18:$H18,Inputs!H$26:H$32))</f>
        <v>0</v>
      </c>
    </row>
    <row r="19" customFormat="false" ht="15" hidden="false" customHeight="false" outlineLevel="0" collapsed="false">
      <c r="A19" s="19" t="str">
        <f aca="false">Strategies!A10</f>
        <v>Income Plus</v>
      </c>
      <c r="B19" s="17"/>
      <c r="C19" s="17"/>
      <c r="D19" s="17"/>
      <c r="E19" s="17"/>
      <c r="F19" s="17"/>
      <c r="G19" s="17"/>
      <c r="H19" s="17"/>
      <c r="I19" s="16" t="str">
        <f aca="false">IF(COUNT(B19:H19)=0,"n/a",SUM(B19:H19))</f>
        <v>n/a</v>
      </c>
      <c r="J19" s="20" t="str">
        <f aca="false">IF(COUNT(B19:H19)=0,"n/a",SUMPRODUCT(B19:H19,Benchmark!$B$3:$H$3))</f>
        <v>n/a</v>
      </c>
      <c r="K19" s="20" t="str">
        <f aca="false">IF(COUNT(B19:H19)=0,"n/a",SQRT(MAX(SUMPRODUCT(B19:H19,S19:Y19),0)))</f>
        <v>n/a</v>
      </c>
      <c r="L19" s="20" t="str">
        <f aca="false">IF(COUNT(B19:H19)=0,"n/a",SUMPRODUCT(B19:H19,Benchmark!$B$4:$H$4))</f>
        <v>n/a</v>
      </c>
      <c r="S19" s="21" t="n">
        <f aca="false">IF(COUNT($B19:$H19)=0,0,MMULT($B19:$H19,Inputs!B$26:B$32))</f>
        <v>0</v>
      </c>
      <c r="T19" s="21" t="n">
        <f aca="false">IF(COUNT($B19:$H19)=0,0,MMULT($B19:$H19,Inputs!C$26:C$32))</f>
        <v>0</v>
      </c>
      <c r="U19" s="21" t="n">
        <f aca="false">IF(COUNT($B19:$H19)=0,0,MMULT($B19:$H19,Inputs!D$26:D$32))</f>
        <v>0</v>
      </c>
      <c r="V19" s="21" t="n">
        <f aca="false">IF(COUNT($B19:$H19)=0,0,MMULT($B19:$H19,Inputs!E$26:E$32))</f>
        <v>0</v>
      </c>
      <c r="W19" s="21" t="n">
        <f aca="false">IF(COUNT($B19:$H19)=0,0,MMULT($B19:$H19,Inputs!F$26:F$32))</f>
        <v>0</v>
      </c>
      <c r="X19" s="21" t="n">
        <f aca="false">IF(COUNT($B19:$H19)=0,0,MMULT($B19:$H19,Inputs!G$26:G$32))</f>
        <v>0</v>
      </c>
      <c r="Y19" s="21" t="n">
        <f aca="false">IF(COUNT($B19:$H19)=0,0,MMULT($B19:$H19,Inputs!H$26:H$32))</f>
        <v>0</v>
      </c>
    </row>
    <row r="20" customFormat="false" ht="15" hidden="false" customHeight="false" outlineLevel="0" collapsed="false">
      <c r="A20" s="19" t="str">
        <f aca="false">Strategies!A11</f>
        <v>Defensive Responsible</v>
      </c>
      <c r="B20" s="17"/>
      <c r="C20" s="17"/>
      <c r="D20" s="17"/>
      <c r="E20" s="17"/>
      <c r="F20" s="17"/>
      <c r="G20" s="17"/>
      <c r="H20" s="17"/>
      <c r="I20" s="16" t="str">
        <f aca="false">IF(COUNT(B20:H20)=0,"n/a",SUM(B20:H20))</f>
        <v>n/a</v>
      </c>
      <c r="J20" s="20" t="str">
        <f aca="false">IF(COUNT(B20:H20)=0,"n/a",SUMPRODUCT(B20:H20,Benchmark!$B$3:$H$3))</f>
        <v>n/a</v>
      </c>
      <c r="K20" s="20" t="str">
        <f aca="false">IF(COUNT(B20:H20)=0,"n/a",SQRT(MAX(SUMPRODUCT(B20:H20,S20:Y20),0)))</f>
        <v>n/a</v>
      </c>
      <c r="L20" s="20" t="str">
        <f aca="false">IF(COUNT(B20:H20)=0,"n/a",SUMPRODUCT(B20:H20,Benchmark!$B$4:$H$4))</f>
        <v>n/a</v>
      </c>
      <c r="S20" s="21" t="n">
        <f aca="false">IF(COUNT($B20:$H20)=0,0,MMULT($B20:$H20,Inputs!B$26:B$32))</f>
        <v>0</v>
      </c>
      <c r="T20" s="21" t="n">
        <f aca="false">IF(COUNT($B20:$H20)=0,0,MMULT($B20:$H20,Inputs!C$26:C$32))</f>
        <v>0</v>
      </c>
      <c r="U20" s="21" t="n">
        <f aca="false">IF(COUNT($B20:$H20)=0,0,MMULT($B20:$H20,Inputs!D$26:D$32))</f>
        <v>0</v>
      </c>
      <c r="V20" s="21" t="n">
        <f aca="false">IF(COUNT($B20:$H20)=0,0,MMULT($B20:$H20,Inputs!E$26:E$32))</f>
        <v>0</v>
      </c>
      <c r="W20" s="21" t="n">
        <f aca="false">IF(COUNT($B20:$H20)=0,0,MMULT($B20:$H20,Inputs!F$26:F$32))</f>
        <v>0</v>
      </c>
      <c r="X20" s="21" t="n">
        <f aca="false">IF(COUNT($B20:$H20)=0,0,MMULT($B20:$H20,Inputs!G$26:G$32))</f>
        <v>0</v>
      </c>
      <c r="Y20" s="21" t="n">
        <f aca="false">IF(COUNT($B20:$H20)=0,0,MMULT($B20:$H20,Inputs!H$26:H$32))</f>
        <v>0</v>
      </c>
    </row>
    <row r="21" customFormat="false" ht="15" hidden="false" customHeight="false" outlineLevel="0" collapsed="false">
      <c r="A21" s="19" t="str">
        <f aca="false">Strategies!A12</f>
        <v>Cautious Responsible</v>
      </c>
      <c r="B21" s="17"/>
      <c r="C21" s="17"/>
      <c r="D21" s="17"/>
      <c r="E21" s="17"/>
      <c r="F21" s="17"/>
      <c r="G21" s="17"/>
      <c r="H21" s="17"/>
      <c r="I21" s="16" t="str">
        <f aca="false">IF(COUNT(B21:H21)=0,"n/a",SUM(B21:H21))</f>
        <v>n/a</v>
      </c>
      <c r="J21" s="20" t="str">
        <f aca="false">IF(COUNT(B21:H21)=0,"n/a",SUMPRODUCT(B21:H21,Benchmark!$B$3:$H$3))</f>
        <v>n/a</v>
      </c>
      <c r="K21" s="20" t="str">
        <f aca="false">IF(COUNT(B21:H21)=0,"n/a",SQRT(MAX(SUMPRODUCT(B21:H21,S21:Y21),0)))</f>
        <v>n/a</v>
      </c>
      <c r="L21" s="20" t="str">
        <f aca="false">IF(COUNT(B21:H21)=0,"n/a",SUMPRODUCT(B21:H21,Benchmark!$B$4:$H$4))</f>
        <v>n/a</v>
      </c>
      <c r="S21" s="21" t="n">
        <f aca="false">IF(COUNT($B21:$H21)=0,0,MMULT($B21:$H21,Inputs!B$26:B$32))</f>
        <v>0</v>
      </c>
      <c r="T21" s="21" t="n">
        <f aca="false">IF(COUNT($B21:$H21)=0,0,MMULT($B21:$H21,Inputs!C$26:C$32))</f>
        <v>0</v>
      </c>
      <c r="U21" s="21" t="n">
        <f aca="false">IF(COUNT($B21:$H21)=0,0,MMULT($B21:$H21,Inputs!D$26:D$32))</f>
        <v>0</v>
      </c>
      <c r="V21" s="21" t="n">
        <f aca="false">IF(COUNT($B21:$H21)=0,0,MMULT($B21:$H21,Inputs!E$26:E$32))</f>
        <v>0</v>
      </c>
      <c r="W21" s="21" t="n">
        <f aca="false">IF(COUNT($B21:$H21)=0,0,MMULT($B21:$H21,Inputs!F$26:F$32))</f>
        <v>0</v>
      </c>
      <c r="X21" s="21" t="n">
        <f aca="false">IF(COUNT($B21:$H21)=0,0,MMULT($B21:$H21,Inputs!G$26:G$32))</f>
        <v>0</v>
      </c>
      <c r="Y21" s="21" t="n">
        <f aca="false">IF(COUNT($B21:$H21)=0,0,MMULT($B21:$H21,Inputs!H$26:H$32))</f>
        <v>0</v>
      </c>
    </row>
    <row r="22" customFormat="false" ht="15" hidden="false" customHeight="false" outlineLevel="0" collapsed="false">
      <c r="A22" s="19" t="str">
        <f aca="false">Strategies!A13</f>
        <v>Balanced Responsible</v>
      </c>
      <c r="B22" s="17"/>
      <c r="C22" s="17"/>
      <c r="D22" s="17"/>
      <c r="E22" s="17"/>
      <c r="F22" s="17"/>
      <c r="G22" s="17"/>
      <c r="H22" s="17"/>
      <c r="I22" s="16" t="str">
        <f aca="false">IF(COUNT(B22:H22)=0,"n/a",SUM(B22:H22))</f>
        <v>n/a</v>
      </c>
      <c r="J22" s="20" t="str">
        <f aca="false">IF(COUNT(B22:H22)=0,"n/a",SUMPRODUCT(B22:H22,Benchmark!$B$3:$H$3))</f>
        <v>n/a</v>
      </c>
      <c r="K22" s="20" t="str">
        <f aca="false">IF(COUNT(B22:H22)=0,"n/a",SQRT(MAX(SUMPRODUCT(B22:H22,S22:Y22),0)))</f>
        <v>n/a</v>
      </c>
      <c r="L22" s="20" t="str">
        <f aca="false">IF(COUNT(B22:H22)=0,"n/a",SUMPRODUCT(B22:H22,Benchmark!$B$4:$H$4))</f>
        <v>n/a</v>
      </c>
      <c r="S22" s="21" t="n">
        <f aca="false">IF(COUNT($B22:$H22)=0,0,MMULT($B22:$H22,Inputs!B$26:B$32))</f>
        <v>0</v>
      </c>
      <c r="T22" s="21" t="n">
        <f aca="false">IF(COUNT($B22:$H22)=0,0,MMULT($B22:$H22,Inputs!C$26:C$32))</f>
        <v>0</v>
      </c>
      <c r="U22" s="21" t="n">
        <f aca="false">IF(COUNT($B22:$H22)=0,0,MMULT($B22:$H22,Inputs!D$26:D$32))</f>
        <v>0</v>
      </c>
      <c r="V22" s="21" t="n">
        <f aca="false">IF(COUNT($B22:$H22)=0,0,MMULT($B22:$H22,Inputs!E$26:E$32))</f>
        <v>0</v>
      </c>
      <c r="W22" s="21" t="n">
        <f aca="false">IF(COUNT($B22:$H22)=0,0,MMULT($B22:$H22,Inputs!F$26:F$32))</f>
        <v>0</v>
      </c>
      <c r="X22" s="21" t="n">
        <f aca="false">IF(COUNT($B22:$H22)=0,0,MMULT($B22:$H22,Inputs!G$26:G$32))</f>
        <v>0</v>
      </c>
      <c r="Y22" s="21" t="n">
        <f aca="false">IF(COUNT($B22:$H22)=0,0,MMULT($B22:$H22,Inputs!H$26:H$32))</f>
        <v>0</v>
      </c>
    </row>
    <row r="23" customFormat="false" ht="15" hidden="false" customHeight="false" outlineLevel="0" collapsed="false">
      <c r="A23" s="19" t="str">
        <f aca="false">Strategies!A14</f>
        <v>Growth Responsible</v>
      </c>
      <c r="B23" s="17"/>
      <c r="C23" s="17"/>
      <c r="D23" s="17"/>
      <c r="E23" s="17"/>
      <c r="F23" s="17"/>
      <c r="G23" s="17"/>
      <c r="H23" s="17"/>
      <c r="I23" s="16" t="str">
        <f aca="false">IF(COUNT(B23:H23)=0,"n/a",SUM(B23:H23))</f>
        <v>n/a</v>
      </c>
      <c r="J23" s="20" t="str">
        <f aca="false">IF(COUNT(B23:H23)=0,"n/a",SUMPRODUCT(B23:H23,Benchmark!$B$3:$H$3))</f>
        <v>n/a</v>
      </c>
      <c r="K23" s="20" t="str">
        <f aca="false">IF(COUNT(B23:H23)=0,"n/a",SQRT(MAX(SUMPRODUCT(B23:H23,S23:Y23),0)))</f>
        <v>n/a</v>
      </c>
      <c r="L23" s="20" t="str">
        <f aca="false">IF(COUNT(B23:H23)=0,"n/a",SUMPRODUCT(B23:H23,Benchmark!$B$4:$H$4))</f>
        <v>n/a</v>
      </c>
      <c r="S23" s="21" t="n">
        <f aca="false">IF(COUNT($B23:$H23)=0,0,MMULT($B23:$H23,Inputs!B$26:B$32))</f>
        <v>0</v>
      </c>
      <c r="T23" s="21" t="n">
        <f aca="false">IF(COUNT($B23:$H23)=0,0,MMULT($B23:$H23,Inputs!C$26:C$32))</f>
        <v>0</v>
      </c>
      <c r="U23" s="21" t="n">
        <f aca="false">IF(COUNT($B23:$H23)=0,0,MMULT($B23:$H23,Inputs!D$26:D$32))</f>
        <v>0</v>
      </c>
      <c r="V23" s="21" t="n">
        <f aca="false">IF(COUNT($B23:$H23)=0,0,MMULT($B23:$H23,Inputs!E$26:E$32))</f>
        <v>0</v>
      </c>
      <c r="W23" s="21" t="n">
        <f aca="false">IF(COUNT($B23:$H23)=0,0,MMULT($B23:$H23,Inputs!F$26:F$32))</f>
        <v>0</v>
      </c>
      <c r="X23" s="21" t="n">
        <f aca="false">IF(COUNT($B23:$H23)=0,0,MMULT($B23:$H23,Inputs!G$26:G$32))</f>
        <v>0</v>
      </c>
      <c r="Y23" s="21" t="n">
        <f aca="false">IF(COUNT($B23:$H23)=0,0,MMULT($B23:$H23,Inputs!H$26:H$32))</f>
        <v>0</v>
      </c>
    </row>
    <row r="24" customFormat="false" ht="15" hidden="false" customHeight="false" outlineLevel="0" collapsed="false">
      <c r="A24" s="26" t="s">
        <v>94</v>
      </c>
      <c r="B24" s="27" t="n">
        <v>0.147</v>
      </c>
      <c r="C24" s="27" t="n">
        <v>0.296</v>
      </c>
      <c r="D24" s="27" t="n">
        <v>0.179</v>
      </c>
      <c r="E24" s="27" t="n">
        <v>0.047</v>
      </c>
      <c r="F24" s="27" t="n">
        <v>0.044</v>
      </c>
      <c r="G24" s="27" t="n">
        <v>0.097</v>
      </c>
      <c r="H24" s="27" t="n">
        <v>0.19</v>
      </c>
    </row>
    <row r="25" customFormat="false" ht="15" hidden="false" customHeight="false" outlineLevel="0" collapsed="false">
      <c r="A25" s="6" t="s">
        <v>95</v>
      </c>
    </row>
    <row r="27" customFormat="false" ht="15" hidden="false" customHeight="false" outlineLevel="0" collapsed="false">
      <c r="A27" s="10" t="s">
        <v>96</v>
      </c>
    </row>
    <row r="28" customFormat="false" ht="42" hidden="false" customHeight="true" outlineLevel="0" collapsed="false">
      <c r="A28" s="7" t="s">
        <v>53</v>
      </c>
      <c r="B28" s="7" t="s">
        <v>37</v>
      </c>
      <c r="C28" s="7" t="s">
        <v>45</v>
      </c>
      <c r="D28" s="7" t="s">
        <v>46</v>
      </c>
      <c r="E28" s="7" t="s">
        <v>40</v>
      </c>
      <c r="F28" s="7" t="s">
        <v>41</v>
      </c>
      <c r="G28" s="7" t="s">
        <v>42</v>
      </c>
      <c r="H28" s="7" t="s">
        <v>43</v>
      </c>
      <c r="I28" s="7" t="s">
        <v>97</v>
      </c>
      <c r="J28" s="7" t="s">
        <v>98</v>
      </c>
      <c r="K28" s="7" t="s">
        <v>99</v>
      </c>
      <c r="L28" s="7" t="s">
        <v>100</v>
      </c>
    </row>
    <row r="29" customFormat="false" ht="15" hidden="false" customHeight="false" outlineLevel="0" collapsed="false">
      <c r="A29" s="23" t="str">
        <f aca="false">Strategies!A5</f>
        <v>Defensive</v>
      </c>
      <c r="B29" s="16" t="str">
        <f aca="false">IF(COUNT($B14:$H14)=0,"n/a",B14-Benchmark!B7)</f>
        <v>n/a</v>
      </c>
      <c r="C29" s="16" t="str">
        <f aca="false">IF(COUNT($B14:$H14)=0,"n/a",C14-Benchmark!C7)</f>
        <v>n/a</v>
      </c>
      <c r="D29" s="16" t="str">
        <f aca="false">IF(COUNT($B14:$H14)=0,"n/a",D14-Benchmark!D7)</f>
        <v>n/a</v>
      </c>
      <c r="E29" s="16" t="str">
        <f aca="false">IF(COUNT($B14:$H14)=0,"n/a",E14-Benchmark!E7)</f>
        <v>n/a</v>
      </c>
      <c r="F29" s="16" t="str">
        <f aca="false">IF(COUNT($B14:$H14)=0,"n/a",F14-Benchmark!F7)</f>
        <v>n/a</v>
      </c>
      <c r="G29" s="16" t="str">
        <f aca="false">IF(COUNT($B14:$H14)=0,"n/a",G14-Benchmark!G7)</f>
        <v>n/a</v>
      </c>
      <c r="H29" s="16" t="str">
        <f aca="false">IF(COUNT($B14:$H14)=0,"n/a",H14-Benchmark!H7)</f>
        <v>n/a</v>
      </c>
      <c r="I29" s="16" t="str">
        <f aca="false">IF(COUNT($B14:$H14)=0,"n/a",MAX(ABS(B29),ABS(C29),ABS(D29),ABS(E29),ABS(F29),ABS(G29),ABS(H29)))</f>
        <v>n/a</v>
      </c>
      <c r="J29" s="20" t="str">
        <f aca="false">IF(COUNT($B14:$H14)=0,"n/a",J14-Benchmark!J7)</f>
        <v>n/a</v>
      </c>
      <c r="K29" s="20" t="str">
        <f aca="false">IF(COUNT($B14:$H14)=0,"n/a",K14-Benchmark!L7)</f>
        <v>n/a</v>
      </c>
      <c r="L29" s="8" t="str">
        <f aca="false">IF(COUNT($B14:$H14)=0,"n/a",IF(AND(I29&lt;=$M$4,ABS(J29)&lt;=$M$5,ABS(K29)&lt;=$M$6),"PASS","CHECK"))</f>
        <v>n/a</v>
      </c>
    </row>
    <row r="30" customFormat="false" ht="15" hidden="false" customHeight="false" outlineLevel="0" collapsed="false">
      <c r="A30" s="23" t="str">
        <f aca="false">Strategies!A6</f>
        <v>Cautious</v>
      </c>
      <c r="B30" s="16" t="str">
        <f aca="false">IF(COUNT($B15:$H15)=0,"n/a",B15-Benchmark!B8)</f>
        <v>n/a</v>
      </c>
      <c r="C30" s="16" t="str">
        <f aca="false">IF(COUNT($B15:$H15)=0,"n/a",C15-Benchmark!C8)</f>
        <v>n/a</v>
      </c>
      <c r="D30" s="16" t="str">
        <f aca="false">IF(COUNT($B15:$H15)=0,"n/a",D15-Benchmark!D8)</f>
        <v>n/a</v>
      </c>
      <c r="E30" s="16" t="str">
        <f aca="false">IF(COUNT($B15:$H15)=0,"n/a",E15-Benchmark!E8)</f>
        <v>n/a</v>
      </c>
      <c r="F30" s="16" t="str">
        <f aca="false">IF(COUNT($B15:$H15)=0,"n/a",F15-Benchmark!F8)</f>
        <v>n/a</v>
      </c>
      <c r="G30" s="16" t="str">
        <f aca="false">IF(COUNT($B15:$H15)=0,"n/a",G15-Benchmark!G8)</f>
        <v>n/a</v>
      </c>
      <c r="H30" s="16" t="str">
        <f aca="false">IF(COUNT($B15:$H15)=0,"n/a",H15-Benchmark!H8)</f>
        <v>n/a</v>
      </c>
      <c r="I30" s="16" t="str">
        <f aca="false">IF(COUNT($B15:$H15)=0,"n/a",MAX(ABS(B30),ABS(C30),ABS(D30),ABS(E30),ABS(F30),ABS(G30),ABS(H30)))</f>
        <v>n/a</v>
      </c>
      <c r="J30" s="20" t="str">
        <f aca="false">IF(COUNT($B15:$H15)=0,"n/a",J15-Benchmark!J8)</f>
        <v>n/a</v>
      </c>
      <c r="K30" s="20" t="str">
        <f aca="false">IF(COUNT($B15:$H15)=0,"n/a",K15-Benchmark!L8)</f>
        <v>n/a</v>
      </c>
      <c r="L30" s="8" t="str">
        <f aca="false">IF(COUNT($B15:$H15)=0,"n/a",IF(AND(I30&lt;=$M$4,ABS(J30)&lt;=$M$5,ABS(K30)&lt;=$M$6),"PASS","CHECK"))</f>
        <v>n/a</v>
      </c>
    </row>
    <row r="31" customFormat="false" ht="15" hidden="false" customHeight="false" outlineLevel="0" collapsed="false">
      <c r="A31" s="23" t="str">
        <f aca="false">Strategies!A7</f>
        <v>Balanced</v>
      </c>
      <c r="B31" s="16" t="str">
        <f aca="false">IF(COUNT($B16:$H16)=0,"n/a",B16-Benchmark!B9)</f>
        <v>n/a</v>
      </c>
      <c r="C31" s="16" t="str">
        <f aca="false">IF(COUNT($B16:$H16)=0,"n/a",C16-Benchmark!C9)</f>
        <v>n/a</v>
      </c>
      <c r="D31" s="16" t="str">
        <f aca="false">IF(COUNT($B16:$H16)=0,"n/a",D16-Benchmark!D9)</f>
        <v>n/a</v>
      </c>
      <c r="E31" s="16" t="str">
        <f aca="false">IF(COUNT($B16:$H16)=0,"n/a",E16-Benchmark!E9)</f>
        <v>n/a</v>
      </c>
      <c r="F31" s="16" t="str">
        <f aca="false">IF(COUNT($B16:$H16)=0,"n/a",F16-Benchmark!F9)</f>
        <v>n/a</v>
      </c>
      <c r="G31" s="16" t="str">
        <f aca="false">IF(COUNT($B16:$H16)=0,"n/a",G16-Benchmark!G9)</f>
        <v>n/a</v>
      </c>
      <c r="H31" s="16" t="str">
        <f aca="false">IF(COUNT($B16:$H16)=0,"n/a",H16-Benchmark!H9)</f>
        <v>n/a</v>
      </c>
      <c r="I31" s="16" t="str">
        <f aca="false">IF(COUNT($B16:$H16)=0,"n/a",MAX(ABS(B31),ABS(C31),ABS(D31),ABS(E31),ABS(F31),ABS(G31),ABS(H31)))</f>
        <v>n/a</v>
      </c>
      <c r="J31" s="20" t="str">
        <f aca="false">IF(COUNT($B16:$H16)=0,"n/a",J16-Benchmark!J9)</f>
        <v>n/a</v>
      </c>
      <c r="K31" s="20" t="str">
        <f aca="false">IF(COUNT($B16:$H16)=0,"n/a",K16-Benchmark!L9)</f>
        <v>n/a</v>
      </c>
      <c r="L31" s="8" t="str">
        <f aca="false">IF(COUNT($B16:$H16)=0,"n/a",IF(AND(I31&lt;=$M$4,ABS(J31)&lt;=$M$5,ABS(K31)&lt;=$M$6),"PASS","CHECK"))</f>
        <v>n/a</v>
      </c>
    </row>
    <row r="32" customFormat="false" ht="15" hidden="false" customHeight="false" outlineLevel="0" collapsed="false">
      <c r="A32" s="23" t="str">
        <f aca="false">Strategies!A8</f>
        <v>Growth</v>
      </c>
      <c r="B32" s="16" t="str">
        <f aca="false">IF(COUNT($B17:$H17)=0,"n/a",B17-Benchmark!B10)</f>
        <v>n/a</v>
      </c>
      <c r="C32" s="16" t="str">
        <f aca="false">IF(COUNT($B17:$H17)=0,"n/a",C17-Benchmark!C10)</f>
        <v>n/a</v>
      </c>
      <c r="D32" s="16" t="str">
        <f aca="false">IF(COUNT($B17:$H17)=0,"n/a",D17-Benchmark!D10)</f>
        <v>n/a</v>
      </c>
      <c r="E32" s="16" t="str">
        <f aca="false">IF(COUNT($B17:$H17)=0,"n/a",E17-Benchmark!E10)</f>
        <v>n/a</v>
      </c>
      <c r="F32" s="16" t="str">
        <f aca="false">IF(COUNT($B17:$H17)=0,"n/a",F17-Benchmark!F10)</f>
        <v>n/a</v>
      </c>
      <c r="G32" s="16" t="str">
        <f aca="false">IF(COUNT($B17:$H17)=0,"n/a",G17-Benchmark!G10)</f>
        <v>n/a</v>
      </c>
      <c r="H32" s="16" t="str">
        <f aca="false">IF(COUNT($B17:$H17)=0,"n/a",H17-Benchmark!H10)</f>
        <v>n/a</v>
      </c>
      <c r="I32" s="16" t="str">
        <f aca="false">IF(COUNT($B17:$H17)=0,"n/a",MAX(ABS(B32),ABS(C32),ABS(D32),ABS(E32),ABS(F32),ABS(G32),ABS(H32)))</f>
        <v>n/a</v>
      </c>
      <c r="J32" s="20" t="str">
        <f aca="false">IF(COUNT($B17:$H17)=0,"n/a",J17-Benchmark!J10)</f>
        <v>n/a</v>
      </c>
      <c r="K32" s="20" t="str">
        <f aca="false">IF(COUNT($B17:$H17)=0,"n/a",K17-Benchmark!L10)</f>
        <v>n/a</v>
      </c>
      <c r="L32" s="8" t="str">
        <f aca="false">IF(COUNT($B17:$H17)=0,"n/a",IF(AND(I32&lt;=$M$4,ABS(J32)&lt;=$M$5,ABS(K32)&lt;=$M$6),"PASS","CHECK"))</f>
        <v>n/a</v>
      </c>
    </row>
    <row r="33" customFormat="false" ht="15" hidden="false" customHeight="false" outlineLevel="0" collapsed="false">
      <c r="A33" s="23" t="str">
        <f aca="false">Strategies!A9</f>
        <v>Income</v>
      </c>
      <c r="B33" s="16" t="str">
        <f aca="false">IF(COUNT($B18:$H18)=0,"n/a",B18-Benchmark!B11)</f>
        <v>n/a</v>
      </c>
      <c r="C33" s="16" t="str">
        <f aca="false">IF(COUNT($B18:$H18)=0,"n/a",C18-Benchmark!C11)</f>
        <v>n/a</v>
      </c>
      <c r="D33" s="16" t="str">
        <f aca="false">IF(COUNT($B18:$H18)=0,"n/a",D18-Benchmark!D11)</f>
        <v>n/a</v>
      </c>
      <c r="E33" s="16" t="str">
        <f aca="false">IF(COUNT($B18:$H18)=0,"n/a",E18-Benchmark!E11)</f>
        <v>n/a</v>
      </c>
      <c r="F33" s="16" t="str">
        <f aca="false">IF(COUNT($B18:$H18)=0,"n/a",F18-Benchmark!F11)</f>
        <v>n/a</v>
      </c>
      <c r="G33" s="16" t="str">
        <f aca="false">IF(COUNT($B18:$H18)=0,"n/a",G18-Benchmark!G11)</f>
        <v>n/a</v>
      </c>
      <c r="H33" s="16" t="str">
        <f aca="false">IF(COUNT($B18:$H18)=0,"n/a",H18-Benchmark!H11)</f>
        <v>n/a</v>
      </c>
      <c r="I33" s="16" t="str">
        <f aca="false">IF(COUNT($B18:$H18)=0,"n/a",MAX(ABS(B33),ABS(C33),ABS(D33),ABS(E33),ABS(F33),ABS(G33),ABS(H33)))</f>
        <v>n/a</v>
      </c>
      <c r="J33" s="20" t="str">
        <f aca="false">IF(COUNT($B18:$H18)=0,"n/a",J18-Benchmark!J11)</f>
        <v>n/a</v>
      </c>
      <c r="K33" s="20" t="str">
        <f aca="false">IF(COUNT($B18:$H18)=0,"n/a",K18-Benchmark!L11)</f>
        <v>n/a</v>
      </c>
      <c r="L33" s="8" t="str">
        <f aca="false">IF(COUNT($B18:$H18)=0,"n/a",IF(AND(I33&lt;=$M$4,ABS(J33)&lt;=$M$5,ABS(K33)&lt;=$M$6),"PASS","CHECK"))</f>
        <v>n/a</v>
      </c>
    </row>
    <row r="34" customFormat="false" ht="15" hidden="false" customHeight="false" outlineLevel="0" collapsed="false">
      <c r="A34" s="23" t="str">
        <f aca="false">Strategies!A10</f>
        <v>Income Plus</v>
      </c>
      <c r="B34" s="16" t="str">
        <f aca="false">IF(COUNT($B19:$H19)=0,"n/a",B19-Benchmark!B12)</f>
        <v>n/a</v>
      </c>
      <c r="C34" s="16" t="str">
        <f aca="false">IF(COUNT($B19:$H19)=0,"n/a",C19-Benchmark!C12)</f>
        <v>n/a</v>
      </c>
      <c r="D34" s="16" t="str">
        <f aca="false">IF(COUNT($B19:$H19)=0,"n/a",D19-Benchmark!D12)</f>
        <v>n/a</v>
      </c>
      <c r="E34" s="16" t="str">
        <f aca="false">IF(COUNT($B19:$H19)=0,"n/a",E19-Benchmark!E12)</f>
        <v>n/a</v>
      </c>
      <c r="F34" s="16" t="str">
        <f aca="false">IF(COUNT($B19:$H19)=0,"n/a",F19-Benchmark!F12)</f>
        <v>n/a</v>
      </c>
      <c r="G34" s="16" t="str">
        <f aca="false">IF(COUNT($B19:$H19)=0,"n/a",G19-Benchmark!G12)</f>
        <v>n/a</v>
      </c>
      <c r="H34" s="16" t="str">
        <f aca="false">IF(COUNT($B19:$H19)=0,"n/a",H19-Benchmark!H12)</f>
        <v>n/a</v>
      </c>
      <c r="I34" s="16" t="str">
        <f aca="false">IF(COUNT($B19:$H19)=0,"n/a",MAX(ABS(B34),ABS(C34),ABS(D34),ABS(E34),ABS(F34),ABS(G34),ABS(H34)))</f>
        <v>n/a</v>
      </c>
      <c r="J34" s="20" t="str">
        <f aca="false">IF(COUNT($B19:$H19)=0,"n/a",J19-Benchmark!J12)</f>
        <v>n/a</v>
      </c>
      <c r="K34" s="20" t="str">
        <f aca="false">IF(COUNT($B19:$H19)=0,"n/a",K19-Benchmark!L12)</f>
        <v>n/a</v>
      </c>
      <c r="L34" s="8" t="str">
        <f aca="false">IF(COUNT($B19:$H19)=0,"n/a",IF(AND(I34&lt;=$M$4,ABS(J34)&lt;=$M$5,ABS(K34)&lt;=$M$6),"PASS","CHECK"))</f>
        <v>n/a</v>
      </c>
    </row>
    <row r="35" customFormat="false" ht="15" hidden="false" customHeight="false" outlineLevel="0" collapsed="false">
      <c r="A35" s="23" t="str">
        <f aca="false">Strategies!A11</f>
        <v>Defensive Responsible</v>
      </c>
      <c r="B35" s="16" t="str">
        <f aca="false">IF(COUNT($B20:$H20)=0,"n/a",B20-Benchmark!B13)</f>
        <v>n/a</v>
      </c>
      <c r="C35" s="16" t="str">
        <f aca="false">IF(COUNT($B20:$H20)=0,"n/a",C20-Benchmark!C13)</f>
        <v>n/a</v>
      </c>
      <c r="D35" s="16" t="str">
        <f aca="false">IF(COUNT($B20:$H20)=0,"n/a",D20-Benchmark!D13)</f>
        <v>n/a</v>
      </c>
      <c r="E35" s="16" t="str">
        <f aca="false">IF(COUNT($B20:$H20)=0,"n/a",E20-Benchmark!E13)</f>
        <v>n/a</v>
      </c>
      <c r="F35" s="16" t="str">
        <f aca="false">IF(COUNT($B20:$H20)=0,"n/a",F20-Benchmark!F13)</f>
        <v>n/a</v>
      </c>
      <c r="G35" s="16" t="str">
        <f aca="false">IF(COUNT($B20:$H20)=0,"n/a",G20-Benchmark!G13)</f>
        <v>n/a</v>
      </c>
      <c r="H35" s="16" t="str">
        <f aca="false">IF(COUNT($B20:$H20)=0,"n/a",H20-Benchmark!H13)</f>
        <v>n/a</v>
      </c>
      <c r="I35" s="16" t="str">
        <f aca="false">IF(COUNT($B20:$H20)=0,"n/a",MAX(ABS(B35),ABS(C35),ABS(D35),ABS(E35),ABS(F35),ABS(G35),ABS(H35)))</f>
        <v>n/a</v>
      </c>
      <c r="J35" s="20" t="str">
        <f aca="false">IF(COUNT($B20:$H20)=0,"n/a",J20-Benchmark!J13)</f>
        <v>n/a</v>
      </c>
      <c r="K35" s="20" t="str">
        <f aca="false">IF(COUNT($B20:$H20)=0,"n/a",K20-Benchmark!L13)</f>
        <v>n/a</v>
      </c>
      <c r="L35" s="8" t="str">
        <f aca="false">IF(COUNT($B20:$H20)=0,"n/a",IF(AND(I35&lt;=$M$4,ABS(J35)&lt;=$M$5,ABS(K35)&lt;=$M$6),"PASS","CHECK"))</f>
        <v>n/a</v>
      </c>
    </row>
    <row r="36" customFormat="false" ht="15" hidden="false" customHeight="false" outlineLevel="0" collapsed="false">
      <c r="A36" s="23" t="str">
        <f aca="false">Strategies!A12</f>
        <v>Cautious Responsible</v>
      </c>
      <c r="B36" s="16" t="str">
        <f aca="false">IF(COUNT($B21:$H21)=0,"n/a",B21-Benchmark!B14)</f>
        <v>n/a</v>
      </c>
      <c r="C36" s="16" t="str">
        <f aca="false">IF(COUNT($B21:$H21)=0,"n/a",C21-Benchmark!C14)</f>
        <v>n/a</v>
      </c>
      <c r="D36" s="16" t="str">
        <f aca="false">IF(COUNT($B21:$H21)=0,"n/a",D21-Benchmark!D14)</f>
        <v>n/a</v>
      </c>
      <c r="E36" s="16" t="str">
        <f aca="false">IF(COUNT($B21:$H21)=0,"n/a",E21-Benchmark!E14)</f>
        <v>n/a</v>
      </c>
      <c r="F36" s="16" t="str">
        <f aca="false">IF(COUNT($B21:$H21)=0,"n/a",F21-Benchmark!F14)</f>
        <v>n/a</v>
      </c>
      <c r="G36" s="16" t="str">
        <f aca="false">IF(COUNT($B21:$H21)=0,"n/a",G21-Benchmark!G14)</f>
        <v>n/a</v>
      </c>
      <c r="H36" s="16" t="str">
        <f aca="false">IF(COUNT($B21:$H21)=0,"n/a",H21-Benchmark!H14)</f>
        <v>n/a</v>
      </c>
      <c r="I36" s="16" t="str">
        <f aca="false">IF(COUNT($B21:$H21)=0,"n/a",MAX(ABS(B36),ABS(C36),ABS(D36),ABS(E36),ABS(F36),ABS(G36),ABS(H36)))</f>
        <v>n/a</v>
      </c>
      <c r="J36" s="20" t="str">
        <f aca="false">IF(COUNT($B21:$H21)=0,"n/a",J21-Benchmark!J14)</f>
        <v>n/a</v>
      </c>
      <c r="K36" s="20" t="str">
        <f aca="false">IF(COUNT($B21:$H21)=0,"n/a",K21-Benchmark!L14)</f>
        <v>n/a</v>
      </c>
      <c r="L36" s="8" t="str">
        <f aca="false">IF(COUNT($B21:$H21)=0,"n/a",IF(AND(I36&lt;=$M$4,ABS(J36)&lt;=$M$5,ABS(K36)&lt;=$M$6),"PASS","CHECK"))</f>
        <v>n/a</v>
      </c>
    </row>
    <row r="37" customFormat="false" ht="15" hidden="false" customHeight="false" outlineLevel="0" collapsed="false">
      <c r="A37" s="23" t="str">
        <f aca="false">Strategies!A13</f>
        <v>Balanced Responsible</v>
      </c>
      <c r="B37" s="16" t="str">
        <f aca="false">IF(COUNT($B22:$H22)=0,"n/a",B22-Benchmark!B15)</f>
        <v>n/a</v>
      </c>
      <c r="C37" s="16" t="str">
        <f aca="false">IF(COUNT($B22:$H22)=0,"n/a",C22-Benchmark!C15)</f>
        <v>n/a</v>
      </c>
      <c r="D37" s="16" t="str">
        <f aca="false">IF(COUNT($B22:$H22)=0,"n/a",D22-Benchmark!D15)</f>
        <v>n/a</v>
      </c>
      <c r="E37" s="16" t="str">
        <f aca="false">IF(COUNT($B22:$H22)=0,"n/a",E22-Benchmark!E15)</f>
        <v>n/a</v>
      </c>
      <c r="F37" s="16" t="str">
        <f aca="false">IF(COUNT($B22:$H22)=0,"n/a",F22-Benchmark!F15)</f>
        <v>n/a</v>
      </c>
      <c r="G37" s="16" t="str">
        <f aca="false">IF(COUNT($B22:$H22)=0,"n/a",G22-Benchmark!G15)</f>
        <v>n/a</v>
      </c>
      <c r="H37" s="16" t="str">
        <f aca="false">IF(COUNT($B22:$H22)=0,"n/a",H22-Benchmark!H15)</f>
        <v>n/a</v>
      </c>
      <c r="I37" s="16" t="str">
        <f aca="false">IF(COUNT($B22:$H22)=0,"n/a",MAX(ABS(B37),ABS(C37),ABS(D37),ABS(E37),ABS(F37),ABS(G37),ABS(H37)))</f>
        <v>n/a</v>
      </c>
      <c r="J37" s="20" t="str">
        <f aca="false">IF(COUNT($B22:$H22)=0,"n/a",J22-Benchmark!J15)</f>
        <v>n/a</v>
      </c>
      <c r="K37" s="20" t="str">
        <f aca="false">IF(COUNT($B22:$H22)=0,"n/a",K22-Benchmark!L15)</f>
        <v>n/a</v>
      </c>
      <c r="L37" s="8" t="str">
        <f aca="false">IF(COUNT($B22:$H22)=0,"n/a",IF(AND(I37&lt;=$M$4,ABS(J37)&lt;=$M$5,ABS(K37)&lt;=$M$6),"PASS","CHECK"))</f>
        <v>n/a</v>
      </c>
    </row>
    <row r="38" customFormat="false" ht="15" hidden="false" customHeight="false" outlineLevel="0" collapsed="false">
      <c r="A38" s="23" t="str">
        <f aca="false">Strategies!A14</f>
        <v>Growth Responsible</v>
      </c>
      <c r="B38" s="16" t="str">
        <f aca="false">IF(COUNT($B23:$H23)=0,"n/a",B23-Benchmark!B16)</f>
        <v>n/a</v>
      </c>
      <c r="C38" s="16" t="str">
        <f aca="false">IF(COUNT($B23:$H23)=0,"n/a",C23-Benchmark!C16)</f>
        <v>n/a</v>
      </c>
      <c r="D38" s="16" t="str">
        <f aca="false">IF(COUNT($B23:$H23)=0,"n/a",D23-Benchmark!D16)</f>
        <v>n/a</v>
      </c>
      <c r="E38" s="16" t="str">
        <f aca="false">IF(COUNT($B23:$H23)=0,"n/a",E23-Benchmark!E16)</f>
        <v>n/a</v>
      </c>
      <c r="F38" s="16" t="str">
        <f aca="false">IF(COUNT($B23:$H23)=0,"n/a",F23-Benchmark!F16)</f>
        <v>n/a</v>
      </c>
      <c r="G38" s="16" t="str">
        <f aca="false">IF(COUNT($B23:$H23)=0,"n/a",G23-Benchmark!G16)</f>
        <v>n/a</v>
      </c>
      <c r="H38" s="16" t="str">
        <f aca="false">IF(COUNT($B23:$H23)=0,"n/a",H23-Benchmark!H16)</f>
        <v>n/a</v>
      </c>
      <c r="I38" s="16" t="str">
        <f aca="false">IF(COUNT($B23:$H23)=0,"n/a",MAX(ABS(B38),ABS(C38),ABS(D38),ABS(E38),ABS(F38),ABS(G38),ABS(H38)))</f>
        <v>n/a</v>
      </c>
      <c r="J38" s="20" t="str">
        <f aca="false">IF(COUNT($B23:$H23)=0,"n/a",J23-Benchmark!J16)</f>
        <v>n/a</v>
      </c>
      <c r="K38" s="20" t="str">
        <f aca="false">IF(COUNT($B23:$H23)=0,"n/a",K23-Benchmark!L16)</f>
        <v>n/a</v>
      </c>
      <c r="L38" s="8" t="str">
        <f aca="false">IF(COUNT($B23:$H23)=0,"n/a",IF(AND(I38&lt;=$M$4,ABS(J38)&lt;=$M$5,ABS(K38)&lt;=$M$6),"PASS","CHECK"))</f>
        <v>n/a</v>
      </c>
    </row>
    <row r="40" customFormat="false" ht="15" hidden="false" customHeight="false" outlineLevel="0" collapsed="false">
      <c r="A40" s="10" t="s">
        <v>101</v>
      </c>
    </row>
    <row r="41" customFormat="false" ht="42" hidden="false" customHeight="true" outlineLevel="0" collapsed="false">
      <c r="A41" s="7" t="s">
        <v>53</v>
      </c>
      <c r="B41" s="7" t="s">
        <v>69</v>
      </c>
      <c r="C41" s="7" t="s">
        <v>102</v>
      </c>
      <c r="D41" s="7" t="s">
        <v>103</v>
      </c>
      <c r="E41" s="7" t="s">
        <v>35</v>
      </c>
      <c r="F41" s="7" t="s">
        <v>55</v>
      </c>
      <c r="G41" s="7" t="s">
        <v>91</v>
      </c>
      <c r="H41" s="7" t="s">
        <v>36</v>
      </c>
      <c r="I41" s="7" t="s">
        <v>56</v>
      </c>
      <c r="J41" s="7" t="s">
        <v>92</v>
      </c>
      <c r="K41" s="7" t="s">
        <v>104</v>
      </c>
    </row>
    <row r="42" customFormat="false" ht="15" hidden="false" customHeight="false" outlineLevel="0" collapsed="false">
      <c r="A42" s="23" t="str">
        <f aca="false">Strategies!A5</f>
        <v>Defensive</v>
      </c>
      <c r="B42" s="16" t="str">
        <f aca="false">I14</f>
        <v>n/a</v>
      </c>
      <c r="C42" s="28" t="str">
        <f aca="false">IF(COUNT($B14:$H14)=0,"n/a",SUMPRODUCT((B14:H14&lt;Benchmark!B22:H22-$M$7)+(B14:H14&gt;Benchmark!B35:H35+$M$7)))</f>
        <v>n/a</v>
      </c>
      <c r="D42" s="16" t="str">
        <f aca="false">IF(COUNT($B14:$H14)=0,"n/a",MAX(0,Benchmark!B22-B14,B14-Benchmark!B35,Benchmark!C22-C14,C14-Benchmark!C35,Benchmark!D22-D14,D14-Benchmark!D35,Benchmark!E22-E14,E14-Benchmark!E35,Benchmark!F22-F14,F14-Benchmark!F35,Benchmark!G22-G14,G14-Benchmark!G35,Benchmark!H22-H14,H14-Benchmark!H35))</f>
        <v>n/a</v>
      </c>
      <c r="E42" s="20" t="str">
        <f aca="false">K14</f>
        <v>n/a</v>
      </c>
      <c r="F42" s="18" t="n">
        <f aca="false">Benchmark!M7</f>
        <v>0.0405</v>
      </c>
      <c r="G42" s="20" t="str">
        <f aca="false">IF(COUNT($B14:$H14)=0,"n/a",MAX(0,E42-F42))</f>
        <v>n/a</v>
      </c>
      <c r="H42" s="20" t="str">
        <f aca="false">L14</f>
        <v>n/a</v>
      </c>
      <c r="I42" s="18" t="n">
        <f aca="false">Benchmark!P7</f>
        <v>0</v>
      </c>
      <c r="J42" s="20" t="str">
        <f aca="false">IF(COUNT($B14:$H14)=0,"n/a",MAX(0,I42-H42))</f>
        <v>n/a</v>
      </c>
      <c r="K42" s="8" t="str">
        <f aca="false">IF(COUNT($B14:$H14)=0,"n/a",IF(AND(ABS(B42-1)&lt;0.0001,C42=0,G42&lt;=$M$8,J42&lt;=$M$9),"PASS","CHECK"))</f>
        <v>n/a</v>
      </c>
    </row>
    <row r="43" customFormat="false" ht="15" hidden="false" customHeight="false" outlineLevel="0" collapsed="false">
      <c r="A43" s="23" t="str">
        <f aca="false">Strategies!A6</f>
        <v>Cautious</v>
      </c>
      <c r="B43" s="16" t="str">
        <f aca="false">I15</f>
        <v>n/a</v>
      </c>
      <c r="C43" s="28" t="str">
        <f aca="false">IF(COUNT($B15:$H15)=0,"n/a",SUMPRODUCT((B15:H15&lt;Benchmark!B23:H23-$M$7)+(B15:H15&gt;Benchmark!B36:H36+$M$7)))</f>
        <v>n/a</v>
      </c>
      <c r="D43" s="16" t="str">
        <f aca="false">IF(COUNT($B15:$H15)=0,"n/a",MAX(0,Benchmark!B23-B15,B15-Benchmark!B36,Benchmark!C23-C15,C15-Benchmark!C36,Benchmark!D23-D15,D15-Benchmark!D36,Benchmark!E23-E15,E15-Benchmark!E36,Benchmark!F23-F15,F15-Benchmark!F36,Benchmark!G23-G15,G15-Benchmark!G36,Benchmark!H23-H15,H15-Benchmark!H36))</f>
        <v>n/a</v>
      </c>
      <c r="E43" s="20" t="str">
        <f aca="false">K15</f>
        <v>n/a</v>
      </c>
      <c r="F43" s="18" t="n">
        <f aca="false">Benchmark!M8</f>
        <v>0.0675</v>
      </c>
      <c r="G43" s="20" t="str">
        <f aca="false">IF(COUNT($B15:$H15)=0,"n/a",MAX(0,E43-F43))</f>
        <v>n/a</v>
      </c>
      <c r="H43" s="20" t="str">
        <f aca="false">L15</f>
        <v>n/a</v>
      </c>
      <c r="I43" s="18" t="n">
        <f aca="false">Benchmark!P8</f>
        <v>0</v>
      </c>
      <c r="J43" s="20" t="str">
        <f aca="false">IF(COUNT($B15:$H15)=0,"n/a",MAX(0,I43-H43))</f>
        <v>n/a</v>
      </c>
      <c r="K43" s="8" t="str">
        <f aca="false">IF(COUNT($B15:$H15)=0,"n/a",IF(AND(ABS(B43-1)&lt;0.0001,C43=0,G43&lt;=$M$8,J43&lt;=$M$9),"PASS","CHECK"))</f>
        <v>n/a</v>
      </c>
    </row>
    <row r="44" customFormat="false" ht="15" hidden="false" customHeight="false" outlineLevel="0" collapsed="false">
      <c r="A44" s="23" t="str">
        <f aca="false">Strategies!A7</f>
        <v>Balanced</v>
      </c>
      <c r="B44" s="16" t="str">
        <f aca="false">I16</f>
        <v>n/a</v>
      </c>
      <c r="C44" s="28" t="str">
        <f aca="false">IF(COUNT($B16:$H16)=0,"n/a",SUMPRODUCT((B16:H16&lt;Benchmark!B24:H24-$M$7)+(B16:H16&gt;Benchmark!B37:H37+$M$7)))</f>
        <v>n/a</v>
      </c>
      <c r="D44" s="16" t="str">
        <f aca="false">IF(COUNT($B16:$H16)=0,"n/a",MAX(0,Benchmark!B24-B16,B16-Benchmark!B37,Benchmark!C24-C16,C16-Benchmark!C37,Benchmark!D24-D16,D16-Benchmark!D37,Benchmark!E24-E16,E16-Benchmark!E37,Benchmark!F24-F16,F16-Benchmark!F37,Benchmark!G24-G16,G16-Benchmark!G37,Benchmark!H24-H16,H16-Benchmark!H37))</f>
        <v>n/a</v>
      </c>
      <c r="E44" s="20" t="str">
        <f aca="false">K16</f>
        <v>n/a</v>
      </c>
      <c r="F44" s="18" t="n">
        <f aca="false">Benchmark!M9</f>
        <v>0.0945</v>
      </c>
      <c r="G44" s="20" t="str">
        <f aca="false">IF(COUNT($B16:$H16)=0,"n/a",MAX(0,E44-F44))</f>
        <v>n/a</v>
      </c>
      <c r="H44" s="20" t="str">
        <f aca="false">L16</f>
        <v>n/a</v>
      </c>
      <c r="I44" s="18" t="n">
        <f aca="false">Benchmark!P9</f>
        <v>0</v>
      </c>
      <c r="J44" s="20" t="str">
        <f aca="false">IF(COUNT($B16:$H16)=0,"n/a",MAX(0,I44-H44))</f>
        <v>n/a</v>
      </c>
      <c r="K44" s="8" t="str">
        <f aca="false">IF(COUNT($B16:$H16)=0,"n/a",IF(AND(ABS(B44-1)&lt;0.0001,C44=0,G44&lt;=$M$8,J44&lt;=$M$9),"PASS","CHECK"))</f>
        <v>n/a</v>
      </c>
    </row>
    <row r="45" customFormat="false" ht="15" hidden="false" customHeight="false" outlineLevel="0" collapsed="false">
      <c r="A45" s="23" t="str">
        <f aca="false">Strategies!A8</f>
        <v>Growth</v>
      </c>
      <c r="B45" s="16" t="str">
        <f aca="false">I17</f>
        <v>n/a</v>
      </c>
      <c r="C45" s="28" t="str">
        <f aca="false">IF(COUNT($B17:$H17)=0,"n/a",SUMPRODUCT((B17:H17&lt;Benchmark!B25:H25-$M$7)+(B17:H17&gt;Benchmark!B38:H38+$M$7)))</f>
        <v>n/a</v>
      </c>
      <c r="D45" s="16" t="str">
        <f aca="false">IF(COUNT($B17:$H17)=0,"n/a",MAX(0,Benchmark!B25-B17,B17-Benchmark!B38,Benchmark!C25-C17,C17-Benchmark!C38,Benchmark!D25-D17,D17-Benchmark!D38,Benchmark!E25-E17,E17-Benchmark!E38,Benchmark!F25-F17,F17-Benchmark!F38,Benchmark!G25-G17,G17-Benchmark!G38,Benchmark!H25-H17,H17-Benchmark!H38))</f>
        <v>n/a</v>
      </c>
      <c r="E45" s="20" t="str">
        <f aca="false">K17</f>
        <v>n/a</v>
      </c>
      <c r="F45" s="18" t="n">
        <f aca="false">Benchmark!M10</f>
        <v>0.1215</v>
      </c>
      <c r="G45" s="20" t="str">
        <f aca="false">IF(COUNT($B17:$H17)=0,"n/a",MAX(0,E45-F45))</f>
        <v>n/a</v>
      </c>
      <c r="H45" s="20" t="str">
        <f aca="false">L17</f>
        <v>n/a</v>
      </c>
      <c r="I45" s="18" t="n">
        <f aca="false">Benchmark!P10</f>
        <v>0</v>
      </c>
      <c r="J45" s="20" t="str">
        <f aca="false">IF(COUNT($B17:$H17)=0,"n/a",MAX(0,I45-H45))</f>
        <v>n/a</v>
      </c>
      <c r="K45" s="8" t="str">
        <f aca="false">IF(COUNT($B17:$H17)=0,"n/a",IF(AND(ABS(B45-1)&lt;0.0001,C45=0,G45&lt;=$M$8,J45&lt;=$M$9),"PASS","CHECK"))</f>
        <v>n/a</v>
      </c>
    </row>
    <row r="46" customFormat="false" ht="15" hidden="false" customHeight="false" outlineLevel="0" collapsed="false">
      <c r="A46" s="23" t="str">
        <f aca="false">Strategies!A9</f>
        <v>Income</v>
      </c>
      <c r="B46" s="16" t="str">
        <f aca="false">I18</f>
        <v>n/a</v>
      </c>
      <c r="C46" s="28" t="str">
        <f aca="false">IF(COUNT($B18:$H18)=0,"n/a",SUMPRODUCT((B18:H18&lt;Benchmark!B26:H26-$M$7)+(B18:H18&gt;Benchmark!B39:H39+$M$7)))</f>
        <v>n/a</v>
      </c>
      <c r="D46" s="16" t="str">
        <f aca="false">IF(COUNT($B18:$H18)=0,"n/a",MAX(0,Benchmark!B26-B18,B18-Benchmark!B39,Benchmark!C26-C18,C18-Benchmark!C39,Benchmark!D26-D18,D18-Benchmark!D39,Benchmark!E26-E18,E18-Benchmark!E39,Benchmark!F26-F18,F18-Benchmark!F39,Benchmark!G26-G18,G18-Benchmark!G39,Benchmark!H26-H18,H18-Benchmark!H39))</f>
        <v>n/a</v>
      </c>
      <c r="E46" s="20" t="str">
        <f aca="false">K18</f>
        <v>n/a</v>
      </c>
      <c r="F46" s="18" t="n">
        <f aca="false">Benchmark!M11</f>
        <v>0.0675</v>
      </c>
      <c r="G46" s="20" t="str">
        <f aca="false">IF(COUNT($B18:$H18)=0,"n/a",MAX(0,E46-F46))</f>
        <v>n/a</v>
      </c>
      <c r="H46" s="20" t="str">
        <f aca="false">L18</f>
        <v>n/a</v>
      </c>
      <c r="I46" s="18" t="n">
        <f aca="false">Benchmark!P11</f>
        <v>0.024</v>
      </c>
      <c r="J46" s="20" t="str">
        <f aca="false">IF(COUNT($B18:$H18)=0,"n/a",MAX(0,I46-H46))</f>
        <v>n/a</v>
      </c>
      <c r="K46" s="8" t="str">
        <f aca="false">IF(COUNT($B18:$H18)=0,"n/a",IF(AND(ABS(B46-1)&lt;0.0001,C46=0,G46&lt;=$M$8,J46&lt;=$M$9),"PASS","CHECK"))</f>
        <v>n/a</v>
      </c>
    </row>
    <row r="47" customFormat="false" ht="15" hidden="false" customHeight="false" outlineLevel="0" collapsed="false">
      <c r="A47" s="23" t="str">
        <f aca="false">Strategies!A10</f>
        <v>Income Plus</v>
      </c>
      <c r="B47" s="16" t="str">
        <f aca="false">I19</f>
        <v>n/a</v>
      </c>
      <c r="C47" s="28" t="str">
        <f aca="false">IF(COUNT($B19:$H19)=0,"n/a",SUMPRODUCT((B19:H19&lt;Benchmark!B27:H27-$M$7)+(B19:H19&gt;Benchmark!B40:H40+$M$7)))</f>
        <v>n/a</v>
      </c>
      <c r="D47" s="16" t="str">
        <f aca="false">IF(COUNT($B19:$H19)=0,"n/a",MAX(0,Benchmark!B27-B19,B19-Benchmark!B40,Benchmark!C27-C19,C19-Benchmark!C40,Benchmark!D27-D19,D19-Benchmark!D40,Benchmark!E27-E19,E19-Benchmark!E40,Benchmark!F27-F19,F19-Benchmark!F40,Benchmark!G27-G19,G19-Benchmark!G40,Benchmark!H27-H19,H19-Benchmark!H40))</f>
        <v>n/a</v>
      </c>
      <c r="E47" s="20" t="str">
        <f aca="false">K19</f>
        <v>n/a</v>
      </c>
      <c r="F47" s="18" t="n">
        <f aca="false">Benchmark!M12</f>
        <v>0.0945</v>
      </c>
      <c r="G47" s="20" t="str">
        <f aca="false">IF(COUNT($B19:$H19)=0,"n/a",MAX(0,E47-F47))</f>
        <v>n/a</v>
      </c>
      <c r="H47" s="20" t="str">
        <f aca="false">L19</f>
        <v>n/a</v>
      </c>
      <c r="I47" s="18" t="n">
        <f aca="false">Benchmark!P12</f>
        <v>0.026</v>
      </c>
      <c r="J47" s="20" t="str">
        <f aca="false">IF(COUNT($B19:$H19)=0,"n/a",MAX(0,I47-H47))</f>
        <v>n/a</v>
      </c>
      <c r="K47" s="8" t="str">
        <f aca="false">IF(COUNT($B19:$H19)=0,"n/a",IF(AND(ABS(B47-1)&lt;0.0001,C47=0,G47&lt;=$M$8,J47&lt;=$M$9),"PASS","CHECK"))</f>
        <v>n/a</v>
      </c>
    </row>
    <row r="48" customFormat="false" ht="15" hidden="false" customHeight="false" outlineLevel="0" collapsed="false">
      <c r="A48" s="23" t="str">
        <f aca="false">Strategies!A11</f>
        <v>Defensive Responsible</v>
      </c>
      <c r="B48" s="16" t="str">
        <f aca="false">I20</f>
        <v>n/a</v>
      </c>
      <c r="C48" s="28" t="str">
        <f aca="false">IF(COUNT($B20:$H20)=0,"n/a",SUMPRODUCT((B20:H20&lt;Benchmark!B28:H28-$M$7)+(B20:H20&gt;Benchmark!B41:H41+$M$7)))</f>
        <v>n/a</v>
      </c>
      <c r="D48" s="16" t="str">
        <f aca="false">IF(COUNT($B20:$H20)=0,"n/a",MAX(0,Benchmark!B28-B20,B20-Benchmark!B41,Benchmark!C28-C20,C20-Benchmark!C41,Benchmark!D28-D20,D20-Benchmark!D41,Benchmark!E28-E20,E20-Benchmark!E41,Benchmark!F28-F20,F20-Benchmark!F41,Benchmark!G28-G20,G20-Benchmark!G41,Benchmark!H28-H20,H20-Benchmark!H41))</f>
        <v>n/a</v>
      </c>
      <c r="E48" s="20" t="str">
        <f aca="false">K20</f>
        <v>n/a</v>
      </c>
      <c r="F48" s="18" t="n">
        <f aca="false">Benchmark!M13</f>
        <v>0.0405</v>
      </c>
      <c r="G48" s="20" t="str">
        <f aca="false">IF(COUNT($B20:$H20)=0,"n/a",MAX(0,E48-F48))</f>
        <v>n/a</v>
      </c>
      <c r="H48" s="20" t="str">
        <f aca="false">L20</f>
        <v>n/a</v>
      </c>
      <c r="I48" s="18" t="n">
        <f aca="false">Benchmark!P13</f>
        <v>0</v>
      </c>
      <c r="J48" s="20" t="str">
        <f aca="false">IF(COUNT($B20:$H20)=0,"n/a",MAX(0,I48-H48))</f>
        <v>n/a</v>
      </c>
      <c r="K48" s="8" t="str">
        <f aca="false">IF(COUNT($B20:$H20)=0,"n/a",IF(AND(ABS(B48-1)&lt;0.0001,C48=0,G48&lt;=$M$8,J48&lt;=$M$9),"PASS","CHECK"))</f>
        <v>n/a</v>
      </c>
    </row>
    <row r="49" customFormat="false" ht="15" hidden="false" customHeight="false" outlineLevel="0" collapsed="false">
      <c r="A49" s="23" t="str">
        <f aca="false">Strategies!A12</f>
        <v>Cautious Responsible</v>
      </c>
      <c r="B49" s="16" t="str">
        <f aca="false">I21</f>
        <v>n/a</v>
      </c>
      <c r="C49" s="28" t="str">
        <f aca="false">IF(COUNT($B21:$H21)=0,"n/a",SUMPRODUCT((B21:H21&lt;Benchmark!B29:H29-$M$7)+(B21:H21&gt;Benchmark!B42:H42+$M$7)))</f>
        <v>n/a</v>
      </c>
      <c r="D49" s="16" t="str">
        <f aca="false">IF(COUNT($B21:$H21)=0,"n/a",MAX(0,Benchmark!B29-B21,B21-Benchmark!B42,Benchmark!C29-C21,C21-Benchmark!C42,Benchmark!D29-D21,D21-Benchmark!D42,Benchmark!E29-E21,E21-Benchmark!E42,Benchmark!F29-F21,F21-Benchmark!F42,Benchmark!G29-G21,G21-Benchmark!G42,Benchmark!H29-H21,H21-Benchmark!H42))</f>
        <v>n/a</v>
      </c>
      <c r="E49" s="20" t="str">
        <f aca="false">K21</f>
        <v>n/a</v>
      </c>
      <c r="F49" s="18" t="n">
        <f aca="false">Benchmark!M14</f>
        <v>0.0675</v>
      </c>
      <c r="G49" s="20" t="str">
        <f aca="false">IF(COUNT($B21:$H21)=0,"n/a",MAX(0,E49-F49))</f>
        <v>n/a</v>
      </c>
      <c r="H49" s="20" t="str">
        <f aca="false">L21</f>
        <v>n/a</v>
      </c>
      <c r="I49" s="18" t="n">
        <f aca="false">Benchmark!P14</f>
        <v>0</v>
      </c>
      <c r="J49" s="20" t="str">
        <f aca="false">IF(COUNT($B21:$H21)=0,"n/a",MAX(0,I49-H49))</f>
        <v>n/a</v>
      </c>
      <c r="K49" s="8" t="str">
        <f aca="false">IF(COUNT($B21:$H21)=0,"n/a",IF(AND(ABS(B49-1)&lt;0.0001,C49=0,G49&lt;=$M$8,J49&lt;=$M$9),"PASS","CHECK"))</f>
        <v>n/a</v>
      </c>
    </row>
    <row r="50" customFormat="false" ht="15" hidden="false" customHeight="false" outlineLevel="0" collapsed="false">
      <c r="A50" s="23" t="str">
        <f aca="false">Strategies!A13</f>
        <v>Balanced Responsible</v>
      </c>
      <c r="B50" s="16" t="str">
        <f aca="false">I22</f>
        <v>n/a</v>
      </c>
      <c r="C50" s="28" t="str">
        <f aca="false">IF(COUNT($B22:$H22)=0,"n/a",SUMPRODUCT((B22:H22&lt;Benchmark!B30:H30-$M$7)+(B22:H22&gt;Benchmark!B43:H43+$M$7)))</f>
        <v>n/a</v>
      </c>
      <c r="D50" s="16" t="str">
        <f aca="false">IF(COUNT($B22:$H22)=0,"n/a",MAX(0,Benchmark!B30-B22,B22-Benchmark!B43,Benchmark!C30-C22,C22-Benchmark!C43,Benchmark!D30-D22,D22-Benchmark!D43,Benchmark!E30-E22,E22-Benchmark!E43,Benchmark!F30-F22,F22-Benchmark!F43,Benchmark!G30-G22,G22-Benchmark!G43,Benchmark!H30-H22,H22-Benchmark!H43))</f>
        <v>n/a</v>
      </c>
      <c r="E50" s="20" t="str">
        <f aca="false">K22</f>
        <v>n/a</v>
      </c>
      <c r="F50" s="18" t="n">
        <f aca="false">Benchmark!M15</f>
        <v>0.0945</v>
      </c>
      <c r="G50" s="20" t="str">
        <f aca="false">IF(COUNT($B22:$H22)=0,"n/a",MAX(0,E50-F50))</f>
        <v>n/a</v>
      </c>
      <c r="H50" s="20" t="str">
        <f aca="false">L22</f>
        <v>n/a</v>
      </c>
      <c r="I50" s="18" t="n">
        <f aca="false">Benchmark!P15</f>
        <v>0</v>
      </c>
      <c r="J50" s="20" t="str">
        <f aca="false">IF(COUNT($B22:$H22)=0,"n/a",MAX(0,I50-H50))</f>
        <v>n/a</v>
      </c>
      <c r="K50" s="8" t="str">
        <f aca="false">IF(COUNT($B22:$H22)=0,"n/a",IF(AND(ABS(B50-1)&lt;0.0001,C50=0,G50&lt;=$M$8,J50&lt;=$M$9),"PASS","CHECK"))</f>
        <v>n/a</v>
      </c>
    </row>
    <row r="51" customFormat="false" ht="15" hidden="false" customHeight="false" outlineLevel="0" collapsed="false">
      <c r="A51" s="23" t="str">
        <f aca="false">Strategies!A14</f>
        <v>Growth Responsible</v>
      </c>
      <c r="B51" s="16" t="str">
        <f aca="false">I23</f>
        <v>n/a</v>
      </c>
      <c r="C51" s="28" t="str">
        <f aca="false">IF(COUNT($B23:$H23)=0,"n/a",SUMPRODUCT((B23:H23&lt;Benchmark!B31:H31-$M$7)+(B23:H23&gt;Benchmark!B44:H44+$M$7)))</f>
        <v>n/a</v>
      </c>
      <c r="D51" s="16" t="str">
        <f aca="false">IF(COUNT($B23:$H23)=0,"n/a",MAX(0,Benchmark!B31-B23,B23-Benchmark!B44,Benchmark!C31-C23,C23-Benchmark!C44,Benchmark!D31-D23,D23-Benchmark!D44,Benchmark!E31-E23,E23-Benchmark!E44,Benchmark!F31-F23,F23-Benchmark!F44,Benchmark!G31-G23,G23-Benchmark!G44,Benchmark!H31-H23,H23-Benchmark!H44))</f>
        <v>n/a</v>
      </c>
      <c r="E51" s="20" t="str">
        <f aca="false">K23</f>
        <v>n/a</v>
      </c>
      <c r="F51" s="18" t="n">
        <f aca="false">Benchmark!M16</f>
        <v>0.1215</v>
      </c>
      <c r="G51" s="20" t="str">
        <f aca="false">IF(COUNT($B23:$H23)=0,"n/a",MAX(0,E51-F51))</f>
        <v>n/a</v>
      </c>
      <c r="H51" s="20" t="str">
        <f aca="false">L23</f>
        <v>n/a</v>
      </c>
      <c r="I51" s="18" t="n">
        <f aca="false">Benchmark!P16</f>
        <v>0</v>
      </c>
      <c r="J51" s="20" t="str">
        <f aca="false">IF(COUNT($B23:$H23)=0,"n/a",MAX(0,I51-H51))</f>
        <v>n/a</v>
      </c>
      <c r="K51" s="8" t="str">
        <f aca="false">IF(COUNT($B23:$H23)=0,"n/a",IF(AND(ABS(B51-1)&lt;0.0001,C51=0,G51&lt;=$M$8,J51&lt;=$M$9),"PASS","CHECK"))</f>
        <v>n/a</v>
      </c>
    </row>
    <row r="53" customFormat="false" ht="15" hidden="false" customHeight="false" outlineLevel="0" collapsed="false">
      <c r="A53" s="6" t="s">
        <v>105</v>
      </c>
    </row>
  </sheetData>
  <mergeCells count="6">
    <mergeCell ref="J4:L4"/>
    <mergeCell ref="J5:L5"/>
    <mergeCell ref="J6:L6"/>
    <mergeCell ref="J7:L7"/>
    <mergeCell ref="J8:L8"/>
    <mergeCell ref="J9:L9"/>
  </mergeCells>
  <conditionalFormatting sqref="L29:L38">
    <cfRule type="cellIs" priority="2" operator="equal" aboveAverage="0" equalAverage="0" bottom="0" percent="0" rank="0" text="" dxfId="0">
      <formula>"PASS"</formula>
    </cfRule>
    <cfRule type="cellIs" priority="3" operator="equal" aboveAverage="0" equalAverage="0" bottom="0" percent="0" rank="0" text="" dxfId="1">
      <formula>"CHECK"</formula>
    </cfRule>
  </conditionalFormatting>
  <conditionalFormatting sqref="K42:K51">
    <cfRule type="cellIs" priority="4" operator="equal" aboveAverage="0" equalAverage="0" bottom="0" percent="0" rank="0" text="" dxfId="0">
      <formula>"PASS"</formula>
    </cfRule>
    <cfRule type="cellIs" priority="5" operator="equal" aboveAverage="0" equalAverage="0" bottom="0" percent="0" rank="0" text="" dxfId="1">
      <formula>"CHECK"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4" min="4" style="0" width="22"/>
    <col collapsed="false" customWidth="true" hidden="false" outlineLevel="0" max="6" min="5" style="0" width="14"/>
    <col collapsed="false" customWidth="true" hidden="false" outlineLevel="0" max="7" min="7" style="0" width="30"/>
    <col collapsed="false" customWidth="true" hidden="false" outlineLevel="0" max="8" min="8" style="0" width="45"/>
    <col collapsed="false" customWidth="true" hidden="false" outlineLevel="0" max="9" min="9" style="0" width="35"/>
    <col collapsed="false" customWidth="true" hidden="false" outlineLevel="0" max="10" min="10" style="0" width="14"/>
  </cols>
  <sheetData>
    <row r="1" customFormat="false" ht="17.35" hidden="false" customHeight="false" outlineLevel="0" collapsed="false">
      <c r="A1" s="5" t="s">
        <v>106</v>
      </c>
    </row>
    <row r="2" customFormat="false" ht="15" hidden="false" customHeight="false" outlineLevel="0" collapsed="false">
      <c r="A2" s="6" t="s">
        <v>107</v>
      </c>
    </row>
    <row r="4" customFormat="false" ht="30" hidden="false" customHeight="true" outlineLevel="0" collapsed="false">
      <c r="A4" s="7" t="s">
        <v>108</v>
      </c>
      <c r="B4" s="7" t="s">
        <v>109</v>
      </c>
      <c r="C4" s="7" t="s">
        <v>110</v>
      </c>
      <c r="D4" s="7" t="s">
        <v>53</v>
      </c>
      <c r="E4" s="7" t="s">
        <v>100</v>
      </c>
      <c r="F4" s="7" t="s">
        <v>104</v>
      </c>
      <c r="G4" s="7" t="s">
        <v>111</v>
      </c>
      <c r="H4" s="7" t="s">
        <v>112</v>
      </c>
      <c r="I4" s="7" t="s">
        <v>113</v>
      </c>
      <c r="J4" s="7" t="s">
        <v>114</v>
      </c>
    </row>
    <row r="5" customFormat="false" ht="45" hidden="false" customHeight="true" outlineLevel="0" collapsed="false">
      <c r="A5" s="29" t="s">
        <v>115</v>
      </c>
      <c r="B5" s="29" t="s">
        <v>116</v>
      </c>
      <c r="C5" s="29" t="s">
        <v>117</v>
      </c>
      <c r="D5" s="29" t="s">
        <v>59</v>
      </c>
      <c r="E5" s="29" t="s">
        <v>118</v>
      </c>
      <c r="F5" s="29" t="s">
        <v>119</v>
      </c>
      <c r="G5" s="29" t="s">
        <v>120</v>
      </c>
      <c r="H5" s="29" t="s">
        <v>121</v>
      </c>
      <c r="I5" s="29" t="s">
        <v>122</v>
      </c>
      <c r="J5" s="29" t="s">
        <v>123</v>
      </c>
    </row>
    <row r="6" customFormat="false" ht="15" hidden="false" customHeight="false" outlineLevel="0" collapsed="false">
      <c r="A6" s="26" t="s">
        <v>124</v>
      </c>
    </row>
    <row r="7" customFormat="false" ht="15" hidden="false" customHeight="false" outlineLevel="0" collapsed="false">
      <c r="A7" s="30"/>
      <c r="B7" s="30"/>
      <c r="C7" s="30"/>
      <c r="D7" s="30"/>
      <c r="E7" s="30"/>
      <c r="F7" s="30"/>
      <c r="G7" s="30"/>
      <c r="H7" s="30"/>
      <c r="I7" s="30"/>
      <c r="J7" s="30"/>
    </row>
    <row r="8" customFormat="false" ht="15" hidden="false" customHeight="false" outlineLevel="0" collapsed="false">
      <c r="A8" s="31"/>
      <c r="B8" s="31"/>
      <c r="C8" s="31"/>
      <c r="D8" s="31"/>
      <c r="E8" s="31"/>
      <c r="F8" s="31"/>
      <c r="G8" s="31"/>
      <c r="H8" s="31"/>
      <c r="I8" s="31"/>
      <c r="J8" s="31"/>
    </row>
    <row r="9" customFormat="false" ht="15" hidden="false" customHeight="false" outlineLevel="0" collapsed="false">
      <c r="A9" s="31"/>
      <c r="B9" s="31"/>
      <c r="C9" s="31"/>
      <c r="D9" s="31"/>
      <c r="E9" s="31"/>
      <c r="F9" s="31"/>
      <c r="G9" s="31"/>
      <c r="H9" s="31"/>
      <c r="I9" s="31"/>
      <c r="J9" s="31"/>
    </row>
    <row r="10" customFormat="false" ht="15" hidden="false" customHeight="false" outlineLevel="0" collapsed="false">
      <c r="A10" s="31"/>
      <c r="B10" s="31"/>
      <c r="C10" s="31"/>
      <c r="D10" s="31"/>
      <c r="E10" s="31"/>
      <c r="F10" s="31"/>
      <c r="G10" s="31"/>
      <c r="H10" s="31"/>
      <c r="I10" s="31"/>
      <c r="J10" s="31"/>
    </row>
    <row r="11" customFormat="false" ht="15" hidden="false" customHeight="false" outlineLevel="0" collapsed="false">
      <c r="A11" s="31"/>
      <c r="B11" s="31"/>
      <c r="C11" s="31"/>
      <c r="D11" s="31"/>
      <c r="E11" s="31"/>
      <c r="F11" s="31"/>
      <c r="G11" s="31"/>
      <c r="H11" s="31"/>
      <c r="I11" s="31"/>
      <c r="J11" s="31"/>
    </row>
    <row r="12" customFormat="false" ht="15" hidden="false" customHeight="false" outlineLevel="0" collapsed="false">
      <c r="A12" s="31"/>
      <c r="B12" s="31"/>
      <c r="C12" s="31"/>
      <c r="D12" s="31"/>
      <c r="E12" s="31"/>
      <c r="F12" s="31"/>
      <c r="G12" s="31"/>
      <c r="H12" s="31"/>
      <c r="I12" s="31"/>
      <c r="J12" s="31"/>
    </row>
    <row r="13" customFormat="false" ht="15" hidden="false" customHeight="false" outlineLevel="0" collapsed="false">
      <c r="A13" s="31"/>
      <c r="B13" s="31"/>
      <c r="C13" s="31"/>
      <c r="D13" s="31"/>
      <c r="E13" s="31"/>
      <c r="F13" s="31"/>
      <c r="G13" s="31"/>
      <c r="H13" s="31"/>
      <c r="I13" s="31"/>
      <c r="J13" s="31"/>
    </row>
    <row r="14" customFormat="false" ht="15" hidden="false" customHeight="false" outlineLevel="0" collapsed="false">
      <c r="A14" s="31"/>
      <c r="B14" s="31"/>
      <c r="C14" s="31"/>
      <c r="D14" s="31"/>
      <c r="E14" s="31"/>
      <c r="F14" s="31"/>
      <c r="G14" s="31"/>
      <c r="H14" s="31"/>
      <c r="I14" s="31"/>
      <c r="J14" s="31"/>
    </row>
    <row r="15" customFormat="false" ht="15" hidden="false" customHeight="false" outlineLevel="0" collapsed="false">
      <c r="A15" s="31"/>
      <c r="B15" s="31"/>
      <c r="C15" s="31"/>
      <c r="D15" s="31"/>
      <c r="E15" s="31"/>
      <c r="F15" s="31"/>
      <c r="G15" s="31"/>
      <c r="H15" s="31"/>
      <c r="I15" s="31"/>
      <c r="J15" s="31"/>
    </row>
    <row r="16" customFormat="false" ht="15" hidden="false" customHeight="false" outlineLevel="0" collapsed="false">
      <c r="A16" s="31"/>
      <c r="B16" s="31"/>
      <c r="C16" s="31"/>
      <c r="D16" s="31"/>
      <c r="E16" s="31"/>
      <c r="F16" s="31"/>
      <c r="G16" s="31"/>
      <c r="H16" s="31"/>
      <c r="I16" s="31"/>
      <c r="J16" s="31"/>
    </row>
    <row r="17" customFormat="false" ht="15" hidden="false" customHeight="false" outlineLevel="0" collapsed="false">
      <c r="A17" s="31"/>
      <c r="B17" s="31"/>
      <c r="C17" s="31"/>
      <c r="D17" s="31"/>
      <c r="E17" s="31"/>
      <c r="F17" s="31"/>
      <c r="G17" s="31"/>
      <c r="H17" s="31"/>
      <c r="I17" s="31"/>
      <c r="J17" s="31"/>
    </row>
    <row r="18" customFormat="false" ht="15" hidden="false" customHeight="false" outlineLevel="0" collapsed="false">
      <c r="A18" s="31"/>
      <c r="B18" s="31"/>
      <c r="C18" s="31"/>
      <c r="D18" s="31"/>
      <c r="E18" s="31"/>
      <c r="F18" s="31"/>
      <c r="G18" s="31"/>
      <c r="H18" s="31"/>
      <c r="I18" s="31"/>
      <c r="J18" s="31"/>
    </row>
    <row r="19" customFormat="false" ht="15" hidden="false" customHeight="false" outlineLevel="0" collapsed="false">
      <c r="A19" s="31"/>
      <c r="B19" s="31"/>
      <c r="C19" s="31"/>
      <c r="D19" s="31"/>
      <c r="E19" s="31"/>
      <c r="F19" s="31"/>
      <c r="G19" s="31"/>
      <c r="H19" s="31"/>
      <c r="I19" s="31"/>
      <c r="J19" s="31"/>
    </row>
    <row r="20" customFormat="false" ht="15" hidden="false" customHeight="false" outlineLevel="0" collapsed="false">
      <c r="A20" s="31"/>
      <c r="B20" s="31"/>
      <c r="C20" s="31"/>
      <c r="D20" s="31"/>
      <c r="E20" s="31"/>
      <c r="F20" s="31"/>
      <c r="G20" s="31"/>
      <c r="H20" s="31"/>
      <c r="I20" s="31"/>
      <c r="J20" s="31"/>
    </row>
    <row r="21" customFormat="false" ht="15" hidden="false" customHeight="false" outlineLevel="0" collapsed="false">
      <c r="A21" s="31"/>
      <c r="B21" s="31"/>
      <c r="C21" s="31"/>
      <c r="D21" s="31"/>
      <c r="E21" s="31"/>
      <c r="F21" s="31"/>
      <c r="G21" s="31"/>
      <c r="H21" s="31"/>
      <c r="I21" s="31"/>
      <c r="J21" s="31"/>
    </row>
    <row r="22" customFormat="false" ht="15" hidden="false" customHeight="false" outlineLevel="0" collapsed="false">
      <c r="A22" s="31"/>
      <c r="B22" s="31"/>
      <c r="C22" s="31"/>
      <c r="D22" s="31"/>
      <c r="E22" s="31"/>
      <c r="F22" s="31"/>
      <c r="G22" s="31"/>
      <c r="H22" s="31"/>
      <c r="I22" s="31"/>
      <c r="J22" s="31"/>
    </row>
    <row r="23" customFormat="false" ht="15" hidden="false" customHeight="false" outlineLevel="0" collapsed="false">
      <c r="A23" s="31"/>
      <c r="B23" s="31"/>
      <c r="C23" s="31"/>
      <c r="D23" s="31"/>
      <c r="E23" s="31"/>
      <c r="F23" s="31"/>
      <c r="G23" s="31"/>
      <c r="H23" s="31"/>
      <c r="I23" s="31"/>
      <c r="J23" s="31"/>
    </row>
    <row r="24" customFormat="false" ht="15" hidden="false" customHeight="false" outlineLevel="0" collapsed="false">
      <c r="A24" s="31"/>
      <c r="B24" s="31"/>
      <c r="C24" s="31"/>
      <c r="D24" s="31"/>
      <c r="E24" s="31"/>
      <c r="F24" s="31"/>
      <c r="G24" s="31"/>
      <c r="H24" s="31"/>
      <c r="I24" s="31"/>
      <c r="J24" s="31"/>
    </row>
    <row r="25" customFormat="false" ht="15" hidden="false" customHeight="false" outlineLevel="0" collapsed="false">
      <c r="A25" s="31"/>
      <c r="B25" s="31"/>
      <c r="C25" s="31"/>
      <c r="D25" s="31"/>
      <c r="E25" s="31"/>
      <c r="F25" s="31"/>
      <c r="G25" s="31"/>
      <c r="H25" s="31"/>
      <c r="I25" s="31"/>
      <c r="J25" s="31"/>
    </row>
    <row r="26" customFormat="false" ht="15" hidden="false" customHeight="false" outlineLevel="0" collapsed="false">
      <c r="A26" s="31"/>
      <c r="B26" s="31"/>
      <c r="C26" s="31"/>
      <c r="D26" s="31"/>
      <c r="E26" s="31"/>
      <c r="F26" s="31"/>
      <c r="G26" s="31"/>
      <c r="H26" s="31"/>
      <c r="I26" s="31"/>
      <c r="J26" s="3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2026-10-19T13:50:49Z</dcterms:created>
  <dc:creator>openpyxl</dc:creator>
  <dc:description/>
  <dc:language>en-US</dc:language>
  <cp:lastModifiedBy/>
  <dcterms:modified xsi:type="dcterms:W3CDTF">2026-10-19T13:50:49Z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